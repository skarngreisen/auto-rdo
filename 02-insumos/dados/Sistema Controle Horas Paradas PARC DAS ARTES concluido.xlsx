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8.xml" ContentType="application/vnd.openxmlformats-officedocument.spreadsheetml.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8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9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2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6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8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9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0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7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intia.souza\Downloads\RELATÓRIO DE HORAS PARADAS\PARC DAS ARTES\"/>
    </mc:Choice>
  </mc:AlternateContent>
  <xr:revisionPtr revIDLastSave="0" documentId="13_ncr:1_{9D71C40C-80F9-46FD-9F71-3432D4B7AFEF}" xr6:coauthVersionLast="47" xr6:coauthVersionMax="47" xr10:uidLastSave="{00000000-0000-0000-0000-000000000000}"/>
  <bookViews>
    <workbookView xWindow="-110" yWindow="-110" windowWidth="19420" windowHeight="10300" firstSheet="6" activeTab="6" xr2:uid="{00000000-000D-0000-FFFF-FFFF00000000}"/>
  </bookViews>
  <sheets>
    <sheet name="Fevereiro " sheetId="3" r:id="rId1"/>
    <sheet name="Março" sheetId="2" r:id="rId2"/>
    <sheet name="Abril" sheetId="4" r:id="rId3"/>
    <sheet name="Maio " sheetId="16" r:id="rId4"/>
    <sheet name="EQUIPAMENTOS" sheetId="24" r:id="rId5"/>
    <sheet name="PERFURAÇÃO" sheetId="20" r:id="rId6"/>
    <sheet name="QUÍMICOS" sheetId="21" r:id="rId7"/>
    <sheet name="EQUIPAMENTOS LOCADOS" sheetId="23" r:id="rId8"/>
    <sheet name="DASHBOARD PERFURAÇÃO" sheetId="25" r:id="rId9"/>
    <sheet name="DASHBOARD" sheetId="18" r:id="rId10"/>
    <sheet name="DISTRIBUIÇÃO DE HORAS PARADAS" sheetId="22" r:id="rId11"/>
    <sheet name="DASHBOARD MENSAL" sheetId="19" r:id="rId12"/>
    <sheet name="DASHBOARD GERAL DE EXECUÇÃO" sheetId="17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7" i="20" l="1"/>
  <c r="I67" i="20"/>
  <c r="M67" i="20"/>
  <c r="L67" i="20"/>
  <c r="E53" i="20"/>
  <c r="K53" i="20" s="1"/>
  <c r="I53" i="20"/>
  <c r="F38" i="21"/>
  <c r="F40" i="21" s="1"/>
  <c r="G8" i="22"/>
  <c r="F8" i="22"/>
  <c r="F6" i="22"/>
  <c r="G7" i="22"/>
  <c r="F7" i="22"/>
  <c r="B7" i="22"/>
  <c r="B6" i="22"/>
  <c r="B5" i="22"/>
  <c r="F41" i="24"/>
  <c r="D38" i="21"/>
  <c r="D41" i="21" s="1"/>
  <c r="C38" i="21"/>
  <c r="C41" i="21" s="1"/>
  <c r="E38" i="21"/>
  <c r="E41" i="21" s="1"/>
  <c r="B38" i="21"/>
  <c r="B39" i="21" s="1"/>
  <c r="B41" i="21" l="1"/>
  <c r="C39" i="21"/>
  <c r="F41" i="21"/>
  <c r="E39" i="21"/>
  <c r="D39" i="21"/>
  <c r="B40" i="21"/>
  <c r="E40" i="21"/>
  <c r="D40" i="21"/>
  <c r="B84" i="20" l="1"/>
  <c r="J5" i="24"/>
  <c r="E65" i="20"/>
  <c r="I65" i="20"/>
  <c r="E52" i="20"/>
  <c r="L52" i="20" s="1"/>
  <c r="I52" i="20"/>
  <c r="E54" i="20"/>
  <c r="I54" i="20"/>
  <c r="E55" i="20"/>
  <c r="I55" i="20"/>
  <c r="E56" i="20"/>
  <c r="I56" i="20"/>
  <c r="E57" i="20"/>
  <c r="I57" i="20"/>
  <c r="E58" i="20"/>
  <c r="I58" i="20"/>
  <c r="E59" i="20"/>
  <c r="I59" i="20"/>
  <c r="E60" i="20"/>
  <c r="I60" i="20"/>
  <c r="E61" i="20"/>
  <c r="I61" i="20"/>
  <c r="E62" i="20"/>
  <c r="I62" i="20"/>
  <c r="E63" i="20"/>
  <c r="I63" i="20"/>
  <c r="E64" i="20"/>
  <c r="I64" i="20"/>
  <c r="E48" i="20"/>
  <c r="L48" i="20" s="1"/>
  <c r="I48" i="20"/>
  <c r="L47" i="20"/>
  <c r="E45" i="20"/>
  <c r="L45" i="20" s="1"/>
  <c r="I45" i="20"/>
  <c r="E46" i="20"/>
  <c r="L46" i="20" s="1"/>
  <c r="I46" i="20"/>
  <c r="E47" i="20"/>
  <c r="I47" i="20"/>
  <c r="E49" i="20"/>
  <c r="I49" i="20"/>
  <c r="E50" i="20"/>
  <c r="L50" i="20" s="1"/>
  <c r="I50" i="20"/>
  <c r="E51" i="20"/>
  <c r="L51" i="20" s="1"/>
  <c r="I51" i="20"/>
  <c r="L43" i="20"/>
  <c r="I43" i="20"/>
  <c r="E43" i="20"/>
  <c r="L35" i="20"/>
  <c r="L36" i="20"/>
  <c r="L34" i="20"/>
  <c r="G12" i="24"/>
  <c r="I8" i="20"/>
  <c r="I4" i="20"/>
  <c r="I5" i="20"/>
  <c r="I6" i="20"/>
  <c r="I7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4" i="20"/>
  <c r="G5" i="24"/>
  <c r="G6" i="24"/>
  <c r="G7" i="24"/>
  <c r="G8" i="24"/>
  <c r="G9" i="24"/>
  <c r="G10" i="24"/>
  <c r="G11" i="24"/>
  <c r="G13" i="24"/>
  <c r="G14" i="24"/>
  <c r="G15" i="24"/>
  <c r="G16" i="24"/>
  <c r="G17" i="24"/>
  <c r="G18" i="24"/>
  <c r="G19" i="24"/>
  <c r="G20" i="24"/>
  <c r="G21" i="24"/>
  <c r="G22" i="24"/>
  <c r="G23" i="24"/>
  <c r="G24" i="24"/>
  <c r="G25" i="24"/>
  <c r="G26" i="24"/>
  <c r="G27" i="24"/>
  <c r="G28" i="24"/>
  <c r="G29" i="24"/>
  <c r="G30" i="24"/>
  <c r="G31" i="24"/>
  <c r="G32" i="24"/>
  <c r="G33" i="24"/>
  <c r="G4" i="24"/>
  <c r="E32" i="20"/>
  <c r="L32" i="20" s="1"/>
  <c r="E33" i="20"/>
  <c r="L33" i="20" s="1"/>
  <c r="E34" i="20"/>
  <c r="E35" i="20"/>
  <c r="E36" i="20"/>
  <c r="E37" i="20"/>
  <c r="L37" i="20" s="1"/>
  <c r="E38" i="20"/>
  <c r="L38" i="20" s="1"/>
  <c r="E39" i="20"/>
  <c r="L39" i="20" s="1"/>
  <c r="E40" i="20"/>
  <c r="L40" i="20" s="1"/>
  <c r="E41" i="20"/>
  <c r="L41" i="20" s="1"/>
  <c r="E42" i="20"/>
  <c r="L42" i="20" s="1"/>
  <c r="E44" i="20"/>
  <c r="L44" i="20" s="1"/>
  <c r="E30" i="20"/>
  <c r="L30" i="20" s="1"/>
  <c r="E31" i="20"/>
  <c r="L31" i="20" s="1"/>
  <c r="D33" i="3"/>
  <c r="D32" i="3"/>
  <c r="D37" i="3"/>
  <c r="D35" i="3"/>
  <c r="D34" i="3"/>
  <c r="D31" i="3"/>
  <c r="D30" i="3"/>
  <c r="D29" i="3"/>
  <c r="K25" i="3"/>
  <c r="J25" i="3"/>
  <c r="I25" i="3"/>
  <c r="H25" i="3"/>
  <c r="G25" i="3"/>
  <c r="F25" i="3"/>
  <c r="E25" i="3"/>
  <c r="L4" i="3"/>
  <c r="L5" i="3"/>
  <c r="G4" i="3"/>
  <c r="G5" i="3"/>
  <c r="D40" i="23"/>
  <c r="F40" i="23" s="1"/>
  <c r="D39" i="23"/>
  <c r="F39" i="23" s="1"/>
  <c r="Q35" i="23"/>
  <c r="I35" i="23"/>
  <c r="F35" i="23"/>
  <c r="E35" i="23"/>
  <c r="H35" i="23" s="1"/>
  <c r="C7" i="22"/>
  <c r="G6" i="22"/>
  <c r="C6" i="22"/>
  <c r="G5" i="22"/>
  <c r="C5" i="22"/>
  <c r="L29" i="20"/>
  <c r="E29" i="20"/>
  <c r="L28" i="20"/>
  <c r="E28" i="20"/>
  <c r="L27" i="20"/>
  <c r="E27" i="20"/>
  <c r="L26" i="20"/>
  <c r="E26" i="20"/>
  <c r="L25" i="20"/>
  <c r="E25" i="20"/>
  <c r="L24" i="20"/>
  <c r="E24" i="20"/>
  <c r="L23" i="20"/>
  <c r="E23" i="20"/>
  <c r="L22" i="20"/>
  <c r="E22" i="20"/>
  <c r="L21" i="20"/>
  <c r="E21" i="20"/>
  <c r="L20" i="20"/>
  <c r="E20" i="20"/>
  <c r="L19" i="20"/>
  <c r="E19" i="20"/>
  <c r="L18" i="20"/>
  <c r="E18" i="20"/>
  <c r="L17" i="20"/>
  <c r="E17" i="20"/>
  <c r="L16" i="20"/>
  <c r="E16" i="20"/>
  <c r="L15" i="20"/>
  <c r="E15" i="20"/>
  <c r="L14" i="20"/>
  <c r="E14" i="20"/>
  <c r="L13" i="20"/>
  <c r="E13" i="20"/>
  <c r="L12" i="20"/>
  <c r="E12" i="20"/>
  <c r="L11" i="20"/>
  <c r="E11" i="20"/>
  <c r="L10" i="20"/>
  <c r="E10" i="20"/>
  <c r="L9" i="20"/>
  <c r="E9" i="20"/>
  <c r="L8" i="20"/>
  <c r="E8" i="20"/>
  <c r="L7" i="20"/>
  <c r="E7" i="20"/>
  <c r="L6" i="20"/>
  <c r="E6" i="20"/>
  <c r="L5" i="20"/>
  <c r="E5" i="20"/>
  <c r="L4" i="20"/>
  <c r="E4" i="20"/>
  <c r="B89" i="20" l="1"/>
  <c r="B90" i="20" s="1"/>
  <c r="B83" i="20"/>
  <c r="B85" i="20" s="1"/>
  <c r="B77" i="20"/>
  <c r="B86" i="20"/>
  <c r="D41" i="24"/>
  <c r="G35" i="24"/>
  <c r="G35" i="23"/>
  <c r="D41" i="23" s="1"/>
  <c r="F41" i="23" s="1"/>
  <c r="B79" i="20" l="1"/>
  <c r="B78" i="20" s="1"/>
  <c r="F5" i="17"/>
  <c r="E5" i="17"/>
  <c r="G5" i="17" s="1"/>
  <c r="H5" i="17" s="1"/>
  <c r="B80" i="20" l="1"/>
  <c r="C7" i="19"/>
  <c r="C6" i="19"/>
  <c r="B7" i="19"/>
  <c r="B6" i="19"/>
  <c r="E14" i="18"/>
  <c r="E15" i="18"/>
  <c r="F41" i="2" l="1"/>
  <c r="G34" i="16"/>
  <c r="I37" i="16"/>
  <c r="D50" i="16" l="1"/>
  <c r="D48" i="16"/>
  <c r="D47" i="16"/>
  <c r="D46" i="16"/>
  <c r="D45" i="16"/>
  <c r="D43" i="16"/>
  <c r="D42" i="16"/>
  <c r="K37" i="16"/>
  <c r="J37" i="16"/>
  <c r="H37" i="16"/>
  <c r="F37" i="16"/>
  <c r="E37" i="16"/>
  <c r="L33" i="16"/>
  <c r="G33" i="16"/>
  <c r="L32" i="16"/>
  <c r="G32" i="16"/>
  <c r="L31" i="16"/>
  <c r="G31" i="16"/>
  <c r="L30" i="16"/>
  <c r="G30" i="16"/>
  <c r="L29" i="16"/>
  <c r="G29" i="16"/>
  <c r="L28" i="16"/>
  <c r="G28" i="16"/>
  <c r="L27" i="16"/>
  <c r="G27" i="16"/>
  <c r="L26" i="16"/>
  <c r="G26" i="16"/>
  <c r="L25" i="16"/>
  <c r="G25" i="16"/>
  <c r="L24" i="16"/>
  <c r="G24" i="16"/>
  <c r="L23" i="16"/>
  <c r="G23" i="16"/>
  <c r="L22" i="16"/>
  <c r="G22" i="16"/>
  <c r="L21" i="16"/>
  <c r="G21" i="16"/>
  <c r="L20" i="16"/>
  <c r="G20" i="16"/>
  <c r="L19" i="16"/>
  <c r="G19" i="16"/>
  <c r="L18" i="16"/>
  <c r="G18" i="16"/>
  <c r="L17" i="16"/>
  <c r="G17" i="16"/>
  <c r="L16" i="16"/>
  <c r="G16" i="16"/>
  <c r="L15" i="16"/>
  <c r="G15" i="16"/>
  <c r="L14" i="16"/>
  <c r="G14" i="16"/>
  <c r="L13" i="16"/>
  <c r="G13" i="16"/>
  <c r="L12" i="16"/>
  <c r="G12" i="16"/>
  <c r="L11" i="16"/>
  <c r="G11" i="16"/>
  <c r="L10" i="16"/>
  <c r="G10" i="16"/>
  <c r="L9" i="16"/>
  <c r="G9" i="16"/>
  <c r="L8" i="16"/>
  <c r="G8" i="16"/>
  <c r="L7" i="16"/>
  <c r="G7" i="16"/>
  <c r="L6" i="16"/>
  <c r="G6" i="16"/>
  <c r="L5" i="16"/>
  <c r="G5" i="16"/>
  <c r="L4" i="16"/>
  <c r="G4" i="16"/>
  <c r="F29" i="3"/>
  <c r="D49" i="2"/>
  <c r="D44" i="2"/>
  <c r="F44" i="2" s="1"/>
  <c r="D42" i="2"/>
  <c r="F42" i="2" s="1"/>
  <c r="D41" i="2"/>
  <c r="D47" i="2"/>
  <c r="F47" i="2" s="1"/>
  <c r="D46" i="2"/>
  <c r="F46" i="2" s="1"/>
  <c r="D45" i="2"/>
  <c r="F45" i="2" s="1"/>
  <c r="D47" i="4"/>
  <c r="D45" i="4"/>
  <c r="F45" i="4" s="1"/>
  <c r="F44" i="4"/>
  <c r="D44" i="4"/>
  <c r="F43" i="4"/>
  <c r="D43" i="4"/>
  <c r="D42" i="4"/>
  <c r="F42" i="4" s="1"/>
  <c r="D40" i="4"/>
  <c r="D39" i="4"/>
  <c r="K35" i="4"/>
  <c r="J35" i="4"/>
  <c r="I35" i="4"/>
  <c r="H35" i="4"/>
  <c r="F35" i="4"/>
  <c r="E35" i="4"/>
  <c r="L22" i="4"/>
  <c r="F30" i="3" l="1"/>
  <c r="E13" i="18"/>
  <c r="B5" i="19"/>
  <c r="H14" i="17"/>
  <c r="J14" i="17" s="1"/>
  <c r="B10" i="18"/>
  <c r="F47" i="16"/>
  <c r="B11" i="18"/>
  <c r="H15" i="17"/>
  <c r="J15" i="17" s="1"/>
  <c r="F48" i="16"/>
  <c r="B8" i="18"/>
  <c r="H12" i="17"/>
  <c r="J12" i="17" s="1"/>
  <c r="F45" i="16"/>
  <c r="F46" i="16"/>
  <c r="H13" i="17"/>
  <c r="J13" i="17" s="1"/>
  <c r="B9" i="18"/>
  <c r="H10" i="17"/>
  <c r="J10" i="17" s="1"/>
  <c r="B6" i="18"/>
  <c r="H9" i="17"/>
  <c r="J9" i="17" s="1"/>
  <c r="B5" i="18"/>
  <c r="B8" i="19"/>
  <c r="E16" i="18"/>
  <c r="F43" i="16"/>
  <c r="F40" i="4"/>
  <c r="F42" i="16"/>
  <c r="F39" i="4"/>
  <c r="F32" i="3"/>
  <c r="F33" i="3"/>
  <c r="F34" i="3"/>
  <c r="F35" i="3"/>
  <c r="D44" i="16"/>
  <c r="G37" i="16"/>
  <c r="E8" i="18" l="1"/>
  <c r="B18" i="18"/>
  <c r="E9" i="18"/>
  <c r="B19" i="18"/>
  <c r="E6" i="18"/>
  <c r="B16" i="18"/>
  <c r="B17" i="18"/>
  <c r="E7" i="18"/>
  <c r="F44" i="16"/>
  <c r="C8" i="19"/>
  <c r="K37" i="2"/>
  <c r="J37" i="2"/>
  <c r="I37" i="2"/>
  <c r="H37" i="2"/>
  <c r="F37" i="2"/>
  <c r="E37" i="2"/>
  <c r="L34" i="2"/>
  <c r="L12" i="2"/>
  <c r="G11" i="2"/>
  <c r="G19" i="2"/>
  <c r="G27" i="2"/>
  <c r="H20" i="17"/>
  <c r="H19" i="17"/>
  <c r="L33" i="4"/>
  <c r="G33" i="4"/>
  <c r="L32" i="4"/>
  <c r="G32" i="4"/>
  <c r="L31" i="4"/>
  <c r="G31" i="4"/>
  <c r="L30" i="4"/>
  <c r="G30" i="4"/>
  <c r="L29" i="4"/>
  <c r="G29" i="4"/>
  <c r="L28" i="4"/>
  <c r="G28" i="4"/>
  <c r="L27" i="4"/>
  <c r="G27" i="4"/>
  <c r="L26" i="4"/>
  <c r="G26" i="4"/>
  <c r="L25" i="4"/>
  <c r="G25" i="4"/>
  <c r="L24" i="4"/>
  <c r="G24" i="4"/>
  <c r="L23" i="4"/>
  <c r="G23" i="4"/>
  <c r="G22" i="4"/>
  <c r="L21" i="4"/>
  <c r="G21" i="4"/>
  <c r="L20" i="4"/>
  <c r="G20" i="4"/>
  <c r="L19" i="4"/>
  <c r="G19" i="4"/>
  <c r="L18" i="4"/>
  <c r="G18" i="4"/>
  <c r="L17" i="4"/>
  <c r="G17" i="4"/>
  <c r="L16" i="4"/>
  <c r="G16" i="4"/>
  <c r="L15" i="4"/>
  <c r="G15" i="4"/>
  <c r="L14" i="4"/>
  <c r="G14" i="4"/>
  <c r="L13" i="4"/>
  <c r="G13" i="4"/>
  <c r="L12" i="4"/>
  <c r="G12" i="4"/>
  <c r="L11" i="4"/>
  <c r="G11" i="4"/>
  <c r="L10" i="4"/>
  <c r="G10" i="4"/>
  <c r="L9" i="4"/>
  <c r="G9" i="4"/>
  <c r="L8" i="4"/>
  <c r="G8" i="4"/>
  <c r="L7" i="4"/>
  <c r="G7" i="4"/>
  <c r="L6" i="4"/>
  <c r="G6" i="4"/>
  <c r="L5" i="4"/>
  <c r="G5" i="4"/>
  <c r="L4" i="4"/>
  <c r="G4" i="4"/>
  <c r="L22" i="3"/>
  <c r="G22" i="3"/>
  <c r="L21" i="3"/>
  <c r="G21" i="3"/>
  <c r="L20" i="3"/>
  <c r="G20" i="3"/>
  <c r="L19" i="3"/>
  <c r="G19" i="3"/>
  <c r="L18" i="3"/>
  <c r="G18" i="3"/>
  <c r="L17" i="3"/>
  <c r="G17" i="3"/>
  <c r="L16" i="3"/>
  <c r="G16" i="3"/>
  <c r="L15" i="3"/>
  <c r="G15" i="3"/>
  <c r="L14" i="3"/>
  <c r="G14" i="3"/>
  <c r="L13" i="3"/>
  <c r="G13" i="3"/>
  <c r="L12" i="3"/>
  <c r="G12" i="3"/>
  <c r="L11" i="3"/>
  <c r="G11" i="3"/>
  <c r="L10" i="3"/>
  <c r="L9" i="3"/>
  <c r="L8" i="3"/>
  <c r="G8" i="3"/>
  <c r="L7" i="3"/>
  <c r="G7" i="3"/>
  <c r="L6" i="3"/>
  <c r="G6" i="3"/>
  <c r="G34" i="2"/>
  <c r="L33" i="2"/>
  <c r="G33" i="2"/>
  <c r="L32" i="2"/>
  <c r="G32" i="2"/>
  <c r="L31" i="2"/>
  <c r="G31" i="2"/>
  <c r="L30" i="2"/>
  <c r="G30" i="2"/>
  <c r="L29" i="2"/>
  <c r="G29" i="2"/>
  <c r="L28" i="2"/>
  <c r="G28" i="2"/>
  <c r="L27" i="2"/>
  <c r="L26" i="2"/>
  <c r="G26" i="2"/>
  <c r="L25" i="2"/>
  <c r="G25" i="2"/>
  <c r="L24" i="2"/>
  <c r="G24" i="2"/>
  <c r="L23" i="2"/>
  <c r="G23" i="2"/>
  <c r="L22" i="2"/>
  <c r="G22" i="2"/>
  <c r="L21" i="2"/>
  <c r="G21" i="2"/>
  <c r="L20" i="2"/>
  <c r="G20" i="2"/>
  <c r="L19" i="2"/>
  <c r="L18" i="2"/>
  <c r="G18" i="2"/>
  <c r="L17" i="2"/>
  <c r="G17" i="2"/>
  <c r="L16" i="2"/>
  <c r="G16" i="2"/>
  <c r="L15" i="2"/>
  <c r="G15" i="2"/>
  <c r="L14" i="2"/>
  <c r="G14" i="2"/>
  <c r="L13" i="2"/>
  <c r="G13" i="2"/>
  <c r="G12" i="2"/>
  <c r="L11" i="2"/>
  <c r="L10" i="2"/>
  <c r="G10" i="2"/>
  <c r="L9" i="2"/>
  <c r="G9" i="2"/>
  <c r="L8" i="2"/>
  <c r="G8" i="2"/>
  <c r="L7" i="2"/>
  <c r="G7" i="2"/>
  <c r="L6" i="2"/>
  <c r="G6" i="2"/>
  <c r="L5" i="2"/>
  <c r="G5" i="2"/>
  <c r="L4" i="2"/>
  <c r="D41" i="4" l="1"/>
  <c r="F41" i="4" s="1"/>
  <c r="D43" i="2"/>
  <c r="F43" i="2" s="1"/>
  <c r="G37" i="2"/>
  <c r="G35" i="4"/>
  <c r="F31" i="3" l="1"/>
  <c r="C5" i="19"/>
  <c r="B7" i="18"/>
  <c r="H11" i="17"/>
  <c r="J11" i="17" s="1"/>
</calcChain>
</file>

<file path=xl/sharedStrings.xml><?xml version="1.0" encoding="utf-8"?>
<sst xmlns="http://schemas.openxmlformats.org/spreadsheetml/2006/main" count="956" uniqueCount="272">
  <si>
    <t>Data</t>
  </si>
  <si>
    <t>Projeto</t>
  </si>
  <si>
    <t>Equipe</t>
  </si>
  <si>
    <t>Equipamento</t>
  </si>
  <si>
    <t>Horas Totais</t>
  </si>
  <si>
    <t>Horas Trabalhadas</t>
  </si>
  <si>
    <t>Horas Paradas</t>
  </si>
  <si>
    <t>Parada Chuva</t>
  </si>
  <si>
    <t>Parada Mecânica</t>
  </si>
  <si>
    <t>Outros Motivos</t>
  </si>
  <si>
    <t>Motivo / Justificativa</t>
  </si>
  <si>
    <t>Responsável</t>
  </si>
  <si>
    <t>Nº RDO</t>
  </si>
  <si>
    <t>Centro de Custo</t>
  </si>
  <si>
    <t>Observações</t>
  </si>
  <si>
    <t>CONTROLE DE HORAS PARADAS - FEVEREIRO</t>
  </si>
  <si>
    <t>CONTROLE DE HORAS PARADAS - ABRIL</t>
  </si>
  <si>
    <t>CONTROLE DE HORAS PARADAS - MAIO</t>
  </si>
  <si>
    <t>DASHBOARD - CONTROLE DE HORAS PARADAS</t>
  </si>
  <si>
    <t>Categoria</t>
  </si>
  <si>
    <t>Horas</t>
  </si>
  <si>
    <t>Chuva</t>
  </si>
  <si>
    <t>Tipo</t>
  </si>
  <si>
    <t>88007 PP25067 - PARC DAS ARTES</t>
  </si>
  <si>
    <t>TORNEP</t>
  </si>
  <si>
    <t>Aguardando chegada do concreto</t>
  </si>
  <si>
    <t>Final de semana</t>
  </si>
  <si>
    <t xml:space="preserve">Deslocamento </t>
  </si>
  <si>
    <t xml:space="preserve">Aguardando equipamento  para nivelar terreno/ aguardando concreto. </t>
  </si>
  <si>
    <t>LEANDRO</t>
  </si>
  <si>
    <t>Conferência da base, manutenção do veiculo de apoio.</t>
  </si>
  <si>
    <t xml:space="preserve">Deslocamento / manutenção do equipamento </t>
  </si>
  <si>
    <t>Parada por motivos climaticos (chuva)</t>
  </si>
  <si>
    <t>LEANDRO/JOSE PINHEIRO</t>
  </si>
  <si>
    <t>Manutenção na bomba Gardner Denver</t>
  </si>
  <si>
    <t>PERFURAÇÃO DE 0 a 6,20M</t>
  </si>
  <si>
    <t>PERFURAÇÃO DE 6,20 A 9,20M</t>
  </si>
  <si>
    <t>Manutenção e ajustes das bombas duplex e centrifuga</t>
  </si>
  <si>
    <t>REABERTURA ATÉ 7,29M</t>
  </si>
  <si>
    <t>CARLOS/JOSE PINHEIRO/LEANDRO</t>
  </si>
  <si>
    <t>Aguardando o Geólogo da Saerp</t>
  </si>
  <si>
    <t>Não teve atividade - Aguardando cura de cimentação</t>
  </si>
  <si>
    <t>TOTAL</t>
  </si>
  <si>
    <t>CONTROLE DE HORAS PARADAS - MARÇO</t>
  </si>
  <si>
    <t>Sem atividade - aguardando cura da cimentação</t>
  </si>
  <si>
    <t>Reunião de equipe - planejamento / deslocamento</t>
  </si>
  <si>
    <t>ajuste de aperto do swivel</t>
  </si>
  <si>
    <t>Revezamento de equipe- sem paralização para almoço</t>
  </si>
  <si>
    <t>JOSE PINHEIRO</t>
  </si>
  <si>
    <t>Perfurou até 52,0 M</t>
  </si>
  <si>
    <t>Aguardando liberação de perfuração</t>
  </si>
  <si>
    <t>perfurou até 63,0 M</t>
  </si>
  <si>
    <t>Perfurou até 68,0 M - Atingiu Arenito</t>
  </si>
  <si>
    <t>Reunião com Equipe - e Aguardando revestimento</t>
  </si>
  <si>
    <t xml:space="preserve">verificação do fluido, mau funcionamento na sonda/ deslocamento para buscar compressor </t>
  </si>
  <si>
    <t>Perfurou até 92,0 M</t>
  </si>
  <si>
    <t>Perfurou até 94,0 M</t>
  </si>
  <si>
    <t>Perfurou até 126,0 M - Revezamento-s/ paralização p/ almoço</t>
  </si>
  <si>
    <t>Perfurou até 142,88 M - Revezamento de equipe- sem paralização para almoço</t>
  </si>
  <si>
    <t>Perfurou até 206,0 M</t>
  </si>
  <si>
    <t>Perfurou até 288,90 M</t>
  </si>
  <si>
    <t xml:space="preserve">Deslocamento para buscar fole de embreagem </t>
  </si>
  <si>
    <t xml:space="preserve"> </t>
  </si>
  <si>
    <t>Transporte do pino da catarina para a tornearia</t>
  </si>
  <si>
    <t>Perfurou até 289,20 M</t>
  </si>
  <si>
    <t>Executada a desmontagem da bomba e linha de lama, seguida do carregamento para transporte à obra da MRV, 'Realizando a organização do canteiro, permanecendo em espera.</t>
  </si>
  <si>
    <t>Perfurou até 352,89 M</t>
  </si>
  <si>
    <t>Perfurou até 332,43 M</t>
  </si>
  <si>
    <t>Perfurou até 310M</t>
  </si>
  <si>
    <t>Deslocamento de R.Bonito P/ R.Preto/ Aguardando bomba de pistão/aguardando munck1/Motivos climaticos (chuva)</t>
  </si>
  <si>
    <t>Reparo tubo do fole da embreagem</t>
  </si>
  <si>
    <t>revezamento de equipe:no almoço/janta- Perfurou até 325,54 M</t>
  </si>
  <si>
    <t>revezamento de equipe:no almoço/janta- Perfurou até 290,90 M.</t>
  </si>
  <si>
    <t>Arrumando fole da embreagem de mesa/Arrumando fole da sonda.</t>
  </si>
  <si>
    <t>Arrumando junta da bomba / apertando o suiwel / arrumando mangueira e conexão de ar do fole de mesa</t>
  </si>
  <si>
    <t>Reabriu até 218 M</t>
  </si>
  <si>
    <t>Manutenção do underreamer</t>
  </si>
  <si>
    <t>Revezamento de equipe: no almoço/janta</t>
  </si>
  <si>
    <t>Manutenção do underreamer/manutenção da bomba emsco</t>
  </si>
  <si>
    <t>Instalação eletrica</t>
  </si>
  <si>
    <t>Fazendo instalação eletrica</t>
  </si>
  <si>
    <t>Aguardando Oxigenio acetileno/ aguardando material</t>
  </si>
  <si>
    <t>Manutenção sistema de scção bomba emsco</t>
  </si>
  <si>
    <t>descarregando ferramenta</t>
  </si>
  <si>
    <t>Descarregando caminhão</t>
  </si>
  <si>
    <t>Admistrativo DH / Aguardando definição do parc das artes para desenvolvimento do poço</t>
  </si>
  <si>
    <t>DTM Parc das artes/Artesano</t>
  </si>
  <si>
    <t>RESUMO AUTOMÁTICO DE HORAS</t>
  </si>
  <si>
    <t>Total Horas do Projeto</t>
  </si>
  <si>
    <t>dias</t>
  </si>
  <si>
    <t>Total Horas Trabalhadas</t>
  </si>
  <si>
    <t>Total Horas Paradas</t>
  </si>
  <si>
    <t>Total Horas Chuva</t>
  </si>
  <si>
    <t>Total Horas Mecânica</t>
  </si>
  <si>
    <t>H x H no Projeto</t>
  </si>
  <si>
    <t>Troca do parafuso gaxeta/solda no vazamento da conexão kelly, separando kelly p/manutenção.</t>
  </si>
  <si>
    <t xml:space="preserve">Troca do parafuso gaxeta/reforço da solda do kelly </t>
  </si>
  <si>
    <t>DTS/ administrativo/ manutenção das mangueiras</t>
  </si>
  <si>
    <t>Aguardando broca/defeito no fole/arrumando as mangueiras.</t>
  </si>
  <si>
    <t>Arrumando ar do fole/ aguardando Torrista</t>
  </si>
  <si>
    <t>Reparo no fole da engrenagem - paralização por motivos climaticos.</t>
  </si>
  <si>
    <t>Aguardando jateador</t>
  </si>
  <si>
    <t>Aguardando decisão da saerp, se vai ou não assobrar mais o poço.</t>
  </si>
  <si>
    <t>Aguardando decisão da saerp</t>
  </si>
  <si>
    <t>DTM/Artesano - organizando pátio</t>
  </si>
  <si>
    <t>DTM/Artesano / DH</t>
  </si>
  <si>
    <t>Aguardando retirada da bomba e sonda</t>
  </si>
  <si>
    <t>DTM/Artesano /MRV</t>
  </si>
  <si>
    <t>Aguardando eletricista/DTM-Artesano</t>
  </si>
  <si>
    <t>DTM/ Paralização por chuva</t>
  </si>
  <si>
    <t>Bombeamento</t>
  </si>
  <si>
    <t>Mecânica</t>
  </si>
  <si>
    <t>1 TURNO</t>
  </si>
  <si>
    <t>2 TURNO</t>
  </si>
  <si>
    <t>1TURNO</t>
  </si>
  <si>
    <t>Mês</t>
  </si>
  <si>
    <t>Fevereiro</t>
  </si>
  <si>
    <t>Março</t>
  </si>
  <si>
    <t>Abril</t>
  </si>
  <si>
    <t>Maio</t>
  </si>
  <si>
    <t>Sem atividade - falta de equipe</t>
  </si>
  <si>
    <t>4hs aguardando retro da saerp/5hs aguardando bomba</t>
  </si>
  <si>
    <t>Aguardando Material - tubos</t>
  </si>
  <si>
    <t>Troca da graxeta da bomba centrifuga/Revisão da bomba</t>
  </si>
  <si>
    <t>Falta de equipe</t>
  </si>
  <si>
    <t>Paralização devido a motivos climaticos (chuva forte)/falta de equipe</t>
  </si>
  <si>
    <t>Deslocamento/falta de equipe</t>
  </si>
  <si>
    <t>Limpeza do fundo do poço 355 M/Material decantado</t>
  </si>
  <si>
    <t>Reabriu com underreamer até 345 M</t>
  </si>
  <si>
    <t>testando e verificando catarina/ DTM carregamento de munck</t>
  </si>
  <si>
    <t>Reparo por solda no underreamer/falta de equipe</t>
  </si>
  <si>
    <t>Aguardando peças do underreamer (pinos do braço)/falta de equipe</t>
  </si>
  <si>
    <t>Mensal</t>
  </si>
  <si>
    <t xml:space="preserve">                                                                                                   RESUMO AUTOMÁTICO DE HORAS</t>
  </si>
  <si>
    <t xml:space="preserve">                                                                                                                      RESUMO AUTOMÁTICO DE HORAS</t>
  </si>
  <si>
    <t xml:space="preserve">                      RESUMO AUTOMÁTICO DE HORAS</t>
  </si>
  <si>
    <t>PORCENTAGEM MENSAL DE PRODUTIVIDADE DO PROJETO</t>
  </si>
  <si>
    <t>DIAS - TOTAL GERAL DO PROJETO</t>
  </si>
  <si>
    <t xml:space="preserve">PARC DAS ARTES </t>
  </si>
  <si>
    <t>Termino</t>
  </si>
  <si>
    <t>Inicio</t>
  </si>
  <si>
    <t>Previsto</t>
  </si>
  <si>
    <t>Total Dias Previsto</t>
  </si>
  <si>
    <t>Total Dias Realizados</t>
  </si>
  <si>
    <t>Total Dias De Atraso</t>
  </si>
  <si>
    <t>Parada Parc das artes</t>
  </si>
  <si>
    <t>Parada DH-GEL</t>
  </si>
  <si>
    <t>Parada DH_GEL</t>
  </si>
  <si>
    <t>Parada PARC DAS ARTES</t>
  </si>
  <si>
    <t>DH-GEL ENGENHARIA</t>
  </si>
  <si>
    <t>Parada DH-GEL ENGENHARIA</t>
  </si>
  <si>
    <t>PARC  DAS ARTES</t>
  </si>
  <si>
    <t>Total Horas Parc das Artes</t>
  </si>
  <si>
    <t>Total Horas DH-GEL Engenharia</t>
  </si>
  <si>
    <t>Dias Efetivos de Operação</t>
  </si>
  <si>
    <t xml:space="preserve">Dias de Operações </t>
  </si>
  <si>
    <t>Trabalhada</t>
  </si>
  <si>
    <t>Porcentagem de Atraso</t>
  </si>
  <si>
    <t>Aguardando ficais para o teste de vazão</t>
  </si>
  <si>
    <t>teste de vazão</t>
  </si>
  <si>
    <t>teste de vazão do poço, recuperação de nível, testes escalonados</t>
  </si>
  <si>
    <t>Administrativo/ Falta de Equipe</t>
  </si>
  <si>
    <t>Mecânica / Eletricista</t>
  </si>
  <si>
    <t>Horas Paradas DH-GEL ENGENHARIA</t>
  </si>
  <si>
    <t>CONTROLE DE PERFURAÇÃO</t>
  </si>
  <si>
    <t>Ferramenta</t>
  </si>
  <si>
    <t>De:</t>
  </si>
  <si>
    <t>Quantidade Metros</t>
  </si>
  <si>
    <t>Horário Inicio</t>
  </si>
  <si>
    <t>Horário Término</t>
  </si>
  <si>
    <t>Diesel S10</t>
  </si>
  <si>
    <t>Diesel S500</t>
  </si>
  <si>
    <t>Ø 18" - martelo</t>
  </si>
  <si>
    <t>ver se coloca os equipamentos da DH tambem para fazer contagem de dias parados por problemas de manutenção separado?</t>
  </si>
  <si>
    <t>CONTROLE DE QUIMICOS</t>
  </si>
  <si>
    <t>Planejado</t>
  </si>
  <si>
    <t>Realizado</t>
  </si>
  <si>
    <t>STATUS</t>
  </si>
  <si>
    <t>HORAS - TOTAL DE PARALIZAÇÃO DO PROJETO</t>
  </si>
  <si>
    <t>Dias</t>
  </si>
  <si>
    <t>CONTROLE DE HORAS TRABALHADAS X PARADAS</t>
  </si>
  <si>
    <t>Fornecedor</t>
  </si>
  <si>
    <t>Dias imprevisto</t>
  </si>
  <si>
    <t>Porcentagem %</t>
  </si>
  <si>
    <t>Status</t>
  </si>
  <si>
    <t>Parada Citrosuco</t>
  </si>
  <si>
    <t>Horario Inicial</t>
  </si>
  <si>
    <t>Horario Final</t>
  </si>
  <si>
    <t>Total Horas dia</t>
  </si>
  <si>
    <t>TOTAL DIAS PREVISTO</t>
  </si>
  <si>
    <t>TOTAL DIAS REALIZADOS</t>
  </si>
  <si>
    <t>%</t>
  </si>
  <si>
    <t>Total dias Imprevisto</t>
  </si>
  <si>
    <t>Margem Imprevista</t>
  </si>
  <si>
    <t>Deslocamento</t>
  </si>
  <si>
    <t>Retirada de bomba</t>
  </si>
  <si>
    <t>Deslocamento/ a serviço do projeto</t>
  </si>
  <si>
    <t>Cimentação do poço/ Integração da Gel Eng</t>
  </si>
  <si>
    <t xml:space="preserve">Aguardando caminhão para nivelar terreno </t>
  </si>
  <si>
    <t>preparando materiais para o projeto</t>
  </si>
  <si>
    <t xml:space="preserve">Agardando caminhão para nivelar terreno/ </t>
  </si>
  <si>
    <t xml:space="preserve">Tirando medidas da base </t>
  </si>
  <si>
    <t>Ø 12 1/4" - martelo</t>
  </si>
  <si>
    <t>Ø 17 1/2" - martelo</t>
  </si>
  <si>
    <t>De</t>
  </si>
  <si>
    <t>Até</t>
  </si>
  <si>
    <t>Até:</t>
  </si>
  <si>
    <t>Quantidade M Reaberto</t>
  </si>
  <si>
    <t>Perfuração</t>
  </si>
  <si>
    <t>Reabertura</t>
  </si>
  <si>
    <t xml:space="preserve">14:40 as 15:35 </t>
  </si>
  <si>
    <t>Atingiu Basalto</t>
  </si>
  <si>
    <t>Bomba Gardner</t>
  </si>
  <si>
    <t>Manutenção</t>
  </si>
  <si>
    <t>Horário de:</t>
  </si>
  <si>
    <t>Horário até:</t>
  </si>
  <si>
    <t>Total Horas Paradas - Manutenção</t>
  </si>
  <si>
    <t>Tempo Reabertura</t>
  </si>
  <si>
    <t>Tempo Perfuração</t>
  </si>
  <si>
    <t>10:30 as 11:00</t>
  </si>
  <si>
    <t>Observação Reabertura</t>
  </si>
  <si>
    <t>Bomba Duplex e Centrifuga</t>
  </si>
  <si>
    <t>Bomba Duplex</t>
  </si>
  <si>
    <t>Ø 30" - martelo</t>
  </si>
  <si>
    <t>10:25 as 16:30</t>
  </si>
  <si>
    <t>Martelo</t>
  </si>
  <si>
    <t>martelo apresentou problemas, foi para manutenção no final do dia e retornou dia 07/03</t>
  </si>
  <si>
    <t>Martelo apresentou problema, foi para manutenção</t>
  </si>
  <si>
    <t>apresentou probemas novamente após as 10:50</t>
  </si>
  <si>
    <t xml:space="preserve">Pegou arenito entre 67,0 e 68,0 metros </t>
  </si>
  <si>
    <t>Sonda</t>
  </si>
  <si>
    <t>embreagem da sonda para manutenção</t>
  </si>
  <si>
    <t>Underreamer</t>
  </si>
  <si>
    <t xml:space="preserve">Manutenção </t>
  </si>
  <si>
    <t>Compresor da sonda apresentou mal funcionamento</t>
  </si>
  <si>
    <t>Bentonita</t>
  </si>
  <si>
    <t>CMC</t>
  </si>
  <si>
    <t>Goma Xantana</t>
  </si>
  <si>
    <t>Barilha</t>
  </si>
  <si>
    <t xml:space="preserve"> Catarina</t>
  </si>
  <si>
    <t>Trocando mola</t>
  </si>
  <si>
    <t>Problema na ferramenta</t>
  </si>
  <si>
    <t>Apresentou problemas</t>
  </si>
  <si>
    <t>Fole da embreagem</t>
  </si>
  <si>
    <t>Problema no sistema de ar do fole</t>
  </si>
  <si>
    <t>Bomba Ensco</t>
  </si>
  <si>
    <t>Ø 22" - Underreamer</t>
  </si>
  <si>
    <t>Ø 22" -  Martelo</t>
  </si>
  <si>
    <t>Fole da mesa</t>
  </si>
  <si>
    <t>Hexa T</t>
  </si>
  <si>
    <t>Horimetro Compressor</t>
  </si>
  <si>
    <t xml:space="preserve">06/05 - chegou com 1850:30 -Terminou com 1885:04 = </t>
  </si>
  <si>
    <t>Metros Perfuração</t>
  </si>
  <si>
    <t>Min/Metro</t>
  </si>
  <si>
    <t>Metros Reabertura</t>
  </si>
  <si>
    <t>Tempo total de execução</t>
  </si>
  <si>
    <t>Imprevisto</t>
  </si>
  <si>
    <t>Porcentagem</t>
  </si>
  <si>
    <t>Parc das artes</t>
  </si>
  <si>
    <t>Materiais</t>
  </si>
  <si>
    <t>Administrativo</t>
  </si>
  <si>
    <t>Manutenção de Equipamentos</t>
  </si>
  <si>
    <t>Total Parc das Artes</t>
  </si>
  <si>
    <t>Falta de Equipe/Administrativo</t>
  </si>
  <si>
    <t>Goma X</t>
  </si>
  <si>
    <t>Barrilha</t>
  </si>
  <si>
    <t>Quimicos</t>
  </si>
  <si>
    <t xml:space="preserve">                      RESUMO DOS DADOS DE PERFURAÇÃO</t>
  </si>
  <si>
    <t>Dados</t>
  </si>
  <si>
    <t>Finalização Total</t>
  </si>
  <si>
    <t>DASHBOARD - CONTROLE DE PERFURAÇÃO</t>
  </si>
  <si>
    <t>DASHBOARD - CONSUMO DE QUIMICOS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</si>
</sst>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"/>
    <numFmt numFmtId="165" formatCode="h:mm;@"/>
  </numFmts>
  <fonts count="23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42424"/>
      <name val="Calibri"/>
      <family val="2"/>
      <scheme val="minor"/>
    </font>
    <font>
      <b/>
      <sz val="14"/>
      <color rgb="FFFFFFFF"/>
      <name val="Calibri"/>
      <family val="2"/>
    </font>
    <font>
      <sz val="8"/>
      <name val="Calibri"/>
      <family val="2"/>
      <scheme val="minor"/>
    </font>
    <font>
      <b/>
      <sz val="14"/>
      <name val="Calibri"/>
      <family val="2"/>
    </font>
    <font>
      <b/>
      <sz val="18"/>
      <name val="Calibri"/>
      <family val="2"/>
    </font>
    <font>
      <b/>
      <sz val="1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0"/>
      <name val="Calibri"/>
      <family val="2"/>
    </font>
    <font>
      <b/>
      <sz val="11"/>
      <color theme="3" tint="-0.249977111117893"/>
      <name val="Calibri"/>
      <family val="2"/>
      <scheme val="minor"/>
    </font>
    <font>
      <b/>
      <sz val="11"/>
      <color rgb="FFFF0000"/>
      <name val="Calibri"/>
      <family val="2"/>
    </font>
    <font>
      <sz val="16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0F243E"/>
        <bgColor rgb="FF0F243E"/>
      </patternFill>
    </fill>
    <fill>
      <patternFill patternType="solid">
        <fgColor rgb="FF1F4E78"/>
        <bgColor rgb="FF1F4E7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rgb="FFD9EAF7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rgb="FF1F4E78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rgb="FF1F4E78"/>
      </patternFill>
    </fill>
    <fill>
      <patternFill patternType="solid">
        <fgColor theme="0" tint="-0.14999847407452621"/>
        <bgColor rgb="FF0F243E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-0.499984740745262"/>
        <bgColor rgb="FF808080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1"/>
        <bgColor rgb="FFD9EAF7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6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20" fontId="0" fillId="0" borderId="1" xfId="0" applyNumberFormat="1" applyBorder="1"/>
    <xf numFmtId="164" fontId="2" fillId="3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/>
    <xf numFmtId="164" fontId="0" fillId="0" borderId="0" xfId="0" applyNumberFormat="1"/>
    <xf numFmtId="14" fontId="0" fillId="4" borderId="1" xfId="0" applyNumberFormat="1" applyFill="1" applyBorder="1"/>
    <xf numFmtId="0" fontId="0" fillId="4" borderId="1" xfId="0" applyFill="1" applyBorder="1"/>
    <xf numFmtId="164" fontId="0" fillId="4" borderId="1" xfId="0" applyNumberFormat="1" applyFill="1" applyBorder="1"/>
    <xf numFmtId="0" fontId="0" fillId="4" borderId="0" xfId="0" applyFill="1"/>
    <xf numFmtId="0" fontId="0" fillId="5" borderId="1" xfId="0" applyFill="1" applyBorder="1"/>
    <xf numFmtId="164" fontId="0" fillId="5" borderId="1" xfId="0" applyNumberFormat="1" applyFill="1" applyBorder="1"/>
    <xf numFmtId="164" fontId="0" fillId="6" borderId="1" xfId="0" applyNumberFormat="1" applyFill="1" applyBorder="1"/>
    <xf numFmtId="164" fontId="5" fillId="7" borderId="1" xfId="0" applyNumberFormat="1" applyFont="1" applyFill="1" applyBorder="1"/>
    <xf numFmtId="14" fontId="6" fillId="5" borderId="1" xfId="0" applyNumberFormat="1" applyFont="1" applyFill="1" applyBorder="1"/>
    <xf numFmtId="0" fontId="6" fillId="5" borderId="1" xfId="0" applyFont="1" applyFill="1" applyBorder="1"/>
    <xf numFmtId="164" fontId="6" fillId="5" borderId="1" xfId="0" applyNumberFormat="1" applyFont="1" applyFill="1" applyBorder="1"/>
    <xf numFmtId="0" fontId="6" fillId="5" borderId="0" xfId="0" applyFont="1" applyFill="1"/>
    <xf numFmtId="14" fontId="0" fillId="5" borderId="1" xfId="0" applyNumberFormat="1" applyFill="1" applyBorder="1"/>
    <xf numFmtId="0" fontId="0" fillId="5" borderId="0" xfId="0" applyFill="1"/>
    <xf numFmtId="164" fontId="0" fillId="5" borderId="0" xfId="0" applyNumberFormat="1" applyFill="1"/>
    <xf numFmtId="0" fontId="10" fillId="0" borderId="0" xfId="0" applyFont="1"/>
    <xf numFmtId="20" fontId="0" fillId="5" borderId="1" xfId="0" applyNumberFormat="1" applyFill="1" applyBorder="1"/>
    <xf numFmtId="164" fontId="3" fillId="0" borderId="1" xfId="0" applyNumberFormat="1" applyFont="1" applyBorder="1"/>
    <xf numFmtId="164" fontId="3" fillId="0" borderId="0" xfId="0" applyNumberFormat="1" applyFont="1"/>
    <xf numFmtId="164" fontId="5" fillId="0" borderId="0" xfId="0" applyNumberFormat="1" applyFont="1"/>
    <xf numFmtId="20" fontId="0" fillId="0" borderId="0" xfId="0" applyNumberFormat="1"/>
    <xf numFmtId="14" fontId="0" fillId="8" borderId="1" xfId="0" applyNumberFormat="1" applyFill="1" applyBorder="1"/>
    <xf numFmtId="0" fontId="0" fillId="8" borderId="1" xfId="0" applyFill="1" applyBorder="1"/>
    <xf numFmtId="164" fontId="0" fillId="8" borderId="1" xfId="0" applyNumberFormat="1" applyFill="1" applyBorder="1"/>
    <xf numFmtId="14" fontId="0" fillId="9" borderId="1" xfId="0" applyNumberFormat="1" applyFill="1" applyBorder="1"/>
    <xf numFmtId="0" fontId="0" fillId="9" borderId="1" xfId="0" applyFill="1" applyBorder="1"/>
    <xf numFmtId="164" fontId="0" fillId="9" borderId="1" xfId="0" applyNumberFormat="1" applyFill="1" applyBorder="1"/>
    <xf numFmtId="0" fontId="0" fillId="9" borderId="0" xfId="0" applyFill="1"/>
    <xf numFmtId="164" fontId="5" fillId="5" borderId="1" xfId="0" applyNumberFormat="1" applyFont="1" applyFill="1" applyBorder="1"/>
    <xf numFmtId="0" fontId="0" fillId="10" borderId="0" xfId="0" applyFill="1"/>
    <xf numFmtId="164" fontId="0" fillId="10" borderId="0" xfId="0" applyNumberFormat="1" applyFill="1"/>
    <xf numFmtId="0" fontId="13" fillId="10" borderId="0" xfId="0" applyFont="1" applyFill="1"/>
    <xf numFmtId="0" fontId="3" fillId="11" borderId="0" xfId="0" applyFont="1" applyFill="1"/>
    <xf numFmtId="0" fontId="0" fillId="12" borderId="0" xfId="0" applyFill="1"/>
    <xf numFmtId="164" fontId="9" fillId="10" borderId="0" xfId="0" applyNumberFormat="1" applyFont="1" applyFill="1"/>
    <xf numFmtId="0" fontId="7" fillId="10" borderId="0" xfId="0" applyFont="1" applyFill="1"/>
    <xf numFmtId="164" fontId="7" fillId="10" borderId="0" xfId="0" applyNumberFormat="1" applyFont="1" applyFill="1"/>
    <xf numFmtId="14" fontId="7" fillId="10" borderId="0" xfId="0" applyNumberFormat="1" applyFont="1" applyFill="1"/>
    <xf numFmtId="0" fontId="6" fillId="12" borderId="0" xfId="0" applyFont="1" applyFill="1"/>
    <xf numFmtId="0" fontId="3" fillId="15" borderId="0" xfId="0" applyFont="1" applyFill="1" applyAlignment="1">
      <alignment horizontal="center"/>
    </xf>
    <xf numFmtId="164" fontId="3" fillId="15" borderId="0" xfId="0" applyNumberFormat="1" applyFont="1" applyFill="1" applyAlignment="1">
      <alignment horizontal="center"/>
    </xf>
    <xf numFmtId="0" fontId="6" fillId="14" borderId="0" xfId="0" applyFont="1" applyFill="1"/>
    <xf numFmtId="0" fontId="3" fillId="13" borderId="0" xfId="0" applyFont="1" applyFill="1" applyAlignment="1">
      <alignment horizontal="center"/>
    </xf>
    <xf numFmtId="164" fontId="3" fillId="13" borderId="0" xfId="0" applyNumberFormat="1" applyFont="1" applyFill="1" applyAlignment="1">
      <alignment horizontal="center"/>
    </xf>
    <xf numFmtId="164" fontId="6" fillId="12" borderId="0" xfId="0" applyNumberFormat="1" applyFont="1" applyFill="1"/>
    <xf numFmtId="0" fontId="15" fillId="12" borderId="0" xfId="0" applyFont="1" applyFill="1"/>
    <xf numFmtId="164" fontId="15" fillId="12" borderId="0" xfId="0" applyNumberFormat="1" applyFont="1" applyFill="1"/>
    <xf numFmtId="0" fontId="6" fillId="10" borderId="0" xfId="0" applyFont="1" applyFill="1"/>
    <xf numFmtId="0" fontId="0" fillId="17" borderId="0" xfId="0" applyFill="1"/>
    <xf numFmtId="0" fontId="8" fillId="17" borderId="0" xfId="0" applyFont="1" applyFill="1" applyAlignment="1">
      <alignment horizontal="center" vertical="center"/>
    </xf>
    <xf numFmtId="2" fontId="0" fillId="12" borderId="0" xfId="0" applyNumberFormat="1" applyFill="1"/>
    <xf numFmtId="10" fontId="7" fillId="10" borderId="0" xfId="0" applyNumberFormat="1" applyFont="1" applyFill="1"/>
    <xf numFmtId="0" fontId="3" fillId="20" borderId="0" xfId="0" applyFont="1" applyFill="1"/>
    <xf numFmtId="164" fontId="6" fillId="10" borderId="0" xfId="0" applyNumberFormat="1" applyFont="1" applyFill="1"/>
    <xf numFmtId="0" fontId="0" fillId="19" borderId="0" xfId="0" applyFill="1"/>
    <xf numFmtId="0" fontId="0" fillId="14" borderId="0" xfId="0" applyFill="1"/>
    <xf numFmtId="0" fontId="2" fillId="3" borderId="2" xfId="0" applyFont="1" applyFill="1" applyBorder="1" applyAlignment="1">
      <alignment horizontal="center" vertical="center" wrapText="1"/>
    </xf>
    <xf numFmtId="2" fontId="2" fillId="3" borderId="2" xfId="0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18" fillId="0" borderId="0" xfId="0" applyFont="1" applyAlignment="1">
      <alignment horizontal="center"/>
    </xf>
    <xf numFmtId="2" fontId="0" fillId="0" borderId="0" xfId="0" applyNumberFormat="1"/>
    <xf numFmtId="2" fontId="0" fillId="0" borderId="3" xfId="0" applyNumberFormat="1" applyBorder="1"/>
    <xf numFmtId="0" fontId="0" fillId="0" borderId="3" xfId="0" applyBorder="1"/>
    <xf numFmtId="2" fontId="0" fillId="0" borderId="1" xfId="0" applyNumberFormat="1" applyBorder="1"/>
    <xf numFmtId="0" fontId="6" fillId="0" borderId="0" xfId="0" applyFont="1"/>
    <xf numFmtId="0" fontId="6" fillId="0" borderId="1" xfId="0" applyFont="1" applyBorder="1"/>
    <xf numFmtId="164" fontId="0" fillId="0" borderId="2" xfId="0" applyNumberFormat="1" applyBorder="1"/>
    <xf numFmtId="0" fontId="17" fillId="7" borderId="0" xfId="0" applyFont="1" applyFill="1"/>
    <xf numFmtId="164" fontId="17" fillId="7" borderId="0" xfId="0" applyNumberFormat="1" applyFont="1" applyFill="1"/>
    <xf numFmtId="0" fontId="5" fillId="7" borderId="0" xfId="0" applyFont="1" applyFill="1"/>
    <xf numFmtId="10" fontId="0" fillId="0" borderId="1" xfId="0" applyNumberFormat="1" applyBorder="1"/>
    <xf numFmtId="14" fontId="6" fillId="0" borderId="1" xfId="0" applyNumberFormat="1" applyFont="1" applyBorder="1"/>
    <xf numFmtId="10" fontId="6" fillId="0" borderId="1" xfId="0" applyNumberFormat="1" applyFont="1" applyBorder="1"/>
    <xf numFmtId="164" fontId="6" fillId="0" borderId="1" xfId="0" applyNumberFormat="1" applyFont="1" applyBorder="1"/>
    <xf numFmtId="0" fontId="8" fillId="10" borderId="0" xfId="0" applyFont="1" applyFill="1"/>
    <xf numFmtId="164" fontId="8" fillId="10" borderId="0" xfId="0" applyNumberFormat="1" applyFont="1" applyFill="1"/>
    <xf numFmtId="164" fontId="0" fillId="12" borderId="0" xfId="0" applyNumberFormat="1" applyFill="1"/>
    <xf numFmtId="0" fontId="7" fillId="12" borderId="0" xfId="0" applyFont="1" applyFill="1"/>
    <xf numFmtId="10" fontId="7" fillId="12" borderId="0" xfId="0" applyNumberFormat="1" applyFont="1" applyFill="1"/>
    <xf numFmtId="0" fontId="8" fillId="12" borderId="0" xfId="0" applyFont="1" applyFill="1"/>
    <xf numFmtId="2" fontId="0" fillId="10" borderId="0" xfId="0" applyNumberFormat="1" applyFill="1"/>
    <xf numFmtId="0" fontId="15" fillId="10" borderId="0" xfId="0" applyFont="1" applyFill="1"/>
    <xf numFmtId="164" fontId="15" fillId="10" borderId="0" xfId="0" applyNumberFormat="1" applyFont="1" applyFill="1"/>
    <xf numFmtId="0" fontId="2" fillId="3" borderId="0" xfId="0" applyFont="1" applyFill="1" applyAlignment="1">
      <alignment horizontal="center" vertical="center" wrapText="1"/>
    </xf>
    <xf numFmtId="20" fontId="6" fillId="0" borderId="1" xfId="0" applyNumberFormat="1" applyFont="1" applyBorder="1"/>
    <xf numFmtId="20" fontId="6" fillId="0" borderId="0" xfId="0" applyNumberFormat="1" applyFont="1"/>
    <xf numFmtId="164" fontId="0" fillId="12" borderId="1" xfId="0" applyNumberFormat="1" applyFill="1" applyBorder="1"/>
    <xf numFmtId="10" fontId="0" fillId="12" borderId="1" xfId="0" applyNumberFormat="1" applyFill="1" applyBorder="1"/>
    <xf numFmtId="164" fontId="8" fillId="12" borderId="1" xfId="0" applyNumberFormat="1" applyFont="1" applyFill="1" applyBorder="1"/>
    <xf numFmtId="20" fontId="0" fillId="12" borderId="0" xfId="0" applyNumberFormat="1" applyFill="1"/>
    <xf numFmtId="0" fontId="0" fillId="12" borderId="1" xfId="0" applyFill="1" applyBorder="1"/>
    <xf numFmtId="0" fontId="5" fillId="12" borderId="1" xfId="0" applyFont="1" applyFill="1" applyBorder="1"/>
    <xf numFmtId="10" fontId="5" fillId="12" borderId="1" xfId="0" applyNumberFormat="1" applyFont="1" applyFill="1" applyBorder="1"/>
    <xf numFmtId="164" fontId="19" fillId="3" borderId="1" xfId="0" applyNumberFormat="1" applyFont="1" applyFill="1" applyBorder="1" applyAlignment="1">
      <alignment horizontal="center" vertical="center" wrapText="1"/>
    </xf>
    <xf numFmtId="164" fontId="16" fillId="0" borderId="1" xfId="0" applyNumberFormat="1" applyFont="1" applyBorder="1"/>
    <xf numFmtId="164" fontId="5" fillId="0" borderId="1" xfId="0" applyNumberFormat="1" applyFont="1" applyBorder="1"/>
    <xf numFmtId="164" fontId="16" fillId="21" borderId="1" xfId="0" applyNumberFormat="1" applyFont="1" applyFill="1" applyBorder="1"/>
    <xf numFmtId="164" fontId="5" fillId="21" borderId="1" xfId="0" applyNumberFormat="1" applyFont="1" applyFill="1" applyBorder="1"/>
    <xf numFmtId="164" fontId="17" fillId="0" borderId="0" xfId="0" applyNumberFormat="1" applyFont="1"/>
    <xf numFmtId="164" fontId="16" fillId="0" borderId="0" xfId="0" applyNumberFormat="1" applyFont="1"/>
    <xf numFmtId="164" fontId="16" fillId="0" borderId="1" xfId="0" applyNumberFormat="1" applyFont="1" applyBorder="1" applyAlignment="1">
      <alignment horizontal="right"/>
    </xf>
    <xf numFmtId="0" fontId="0" fillId="0" borderId="0" xfId="0" quotePrefix="1"/>
    <xf numFmtId="165" fontId="0" fillId="0" borderId="1" xfId="0" applyNumberFormat="1" applyBorder="1"/>
    <xf numFmtId="165" fontId="0" fillId="0" borderId="0" xfId="0" applyNumberFormat="1"/>
    <xf numFmtId="165" fontId="0" fillId="0" borderId="3" xfId="0" applyNumberFormat="1" applyBorder="1"/>
    <xf numFmtId="165" fontId="16" fillId="0" borderId="1" xfId="0" applyNumberFormat="1" applyFont="1" applyBorder="1"/>
    <xf numFmtId="165" fontId="16" fillId="21" borderId="1" xfId="0" applyNumberFormat="1" applyFont="1" applyFill="1" applyBorder="1"/>
    <xf numFmtId="164" fontId="5" fillId="0" borderId="3" xfId="0" applyNumberFormat="1" applyFont="1" applyBorder="1"/>
    <xf numFmtId="2" fontId="5" fillId="0" borderId="0" xfId="0" applyNumberFormat="1" applyFont="1"/>
    <xf numFmtId="2" fontId="5" fillId="0" borderId="3" xfId="0" applyNumberFormat="1" applyFont="1" applyBorder="1"/>
    <xf numFmtId="2" fontId="5" fillId="0" borderId="1" xfId="0" applyNumberFormat="1" applyFont="1" applyBorder="1"/>
    <xf numFmtId="2" fontId="5" fillId="14" borderId="1" xfId="0" applyNumberFormat="1" applyFont="1" applyFill="1" applyBorder="1"/>
    <xf numFmtId="2" fontId="19" fillId="3" borderId="2" xfId="0" applyNumberFormat="1" applyFont="1" applyFill="1" applyBorder="1" applyAlignment="1">
      <alignment horizontal="center" vertical="center" wrapText="1"/>
    </xf>
    <xf numFmtId="2" fontId="20" fillId="0" borderId="0" xfId="0" applyNumberFormat="1" applyFont="1"/>
    <xf numFmtId="2" fontId="20" fillId="0" borderId="3" xfId="0" applyNumberFormat="1" applyFont="1" applyBorder="1"/>
    <xf numFmtId="2" fontId="20" fillId="0" borderId="1" xfId="0" applyNumberFormat="1" applyFont="1" applyBorder="1"/>
    <xf numFmtId="2" fontId="20" fillId="14" borderId="1" xfId="0" applyNumberFormat="1" applyFont="1" applyFill="1" applyBorder="1"/>
    <xf numFmtId="164" fontId="20" fillId="0" borderId="0" xfId="0" applyNumberFormat="1" applyFont="1"/>
    <xf numFmtId="164" fontId="20" fillId="0" borderId="3" xfId="0" applyNumberFormat="1" applyFont="1" applyBorder="1"/>
    <xf numFmtId="164" fontId="20" fillId="0" borderId="1" xfId="0" applyNumberFormat="1" applyFont="1" applyBorder="1"/>
    <xf numFmtId="0" fontId="20" fillId="0" borderId="1" xfId="0" applyFont="1" applyBorder="1"/>
    <xf numFmtId="2" fontId="21" fillId="3" borderId="2" xfId="0" applyNumberFormat="1" applyFont="1" applyFill="1" applyBorder="1" applyAlignment="1">
      <alignment horizontal="center" vertical="center" wrapText="1"/>
    </xf>
    <xf numFmtId="0" fontId="5" fillId="0" borderId="1" xfId="0" applyFont="1" applyBorder="1"/>
    <xf numFmtId="164" fontId="19" fillId="3" borderId="2" xfId="0" applyNumberFormat="1" applyFont="1" applyFill="1" applyBorder="1" applyAlignment="1">
      <alignment horizontal="center" vertical="center" wrapText="1"/>
    </xf>
    <xf numFmtId="164" fontId="5" fillId="14" borderId="1" xfId="0" applyNumberFormat="1" applyFont="1" applyFill="1" applyBorder="1"/>
    <xf numFmtId="164" fontId="8" fillId="14" borderId="1" xfId="0" applyNumberFormat="1" applyFont="1" applyFill="1" applyBorder="1"/>
    <xf numFmtId="2" fontId="8" fillId="0" borderId="1" xfId="0" applyNumberFormat="1" applyFont="1" applyBorder="1"/>
    <xf numFmtId="2" fontId="8" fillId="14" borderId="1" xfId="0" applyNumberFormat="1" applyFont="1" applyFill="1" applyBorder="1"/>
    <xf numFmtId="14" fontId="8" fillId="0" borderId="1" xfId="0" applyNumberFormat="1" applyFont="1" applyBorder="1"/>
    <xf numFmtId="3" fontId="10" fillId="12" borderId="0" xfId="0" applyNumberFormat="1" applyFont="1" applyFill="1"/>
    <xf numFmtId="3" fontId="0" fillId="12" borderId="1" xfId="0" applyNumberFormat="1" applyFill="1" applyBorder="1"/>
    <xf numFmtId="10" fontId="0" fillId="12" borderId="0" xfId="0" applyNumberFormat="1" applyFill="1"/>
    <xf numFmtId="164" fontId="8" fillId="0" borderId="0" xfId="0" applyNumberFormat="1" applyFont="1"/>
    <xf numFmtId="0" fontId="8" fillId="22" borderId="0" xfId="0" applyFont="1" applyFill="1"/>
    <xf numFmtId="0" fontId="5" fillId="22" borderId="0" xfId="0" applyFont="1" applyFill="1" applyAlignment="1">
      <alignment horizontal="right"/>
    </xf>
    <xf numFmtId="164" fontId="8" fillId="12" borderId="0" xfId="0" applyNumberFormat="1" applyFont="1" applyFill="1"/>
    <xf numFmtId="164" fontId="8" fillId="0" borderId="0" xfId="0" applyNumberFormat="1" applyFont="1" applyAlignment="1">
      <alignment horizontal="center"/>
    </xf>
    <xf numFmtId="14" fontId="8" fillId="0" borderId="0" xfId="0" applyNumberFormat="1" applyFont="1"/>
    <xf numFmtId="2" fontId="17" fillId="0" borderId="0" xfId="0" applyNumberFormat="1" applyFont="1"/>
    <xf numFmtId="0" fontId="17" fillId="0" borderId="0" xfId="0" applyFont="1"/>
    <xf numFmtId="0" fontId="5" fillId="0" borderId="0" xfId="0" applyFont="1"/>
    <xf numFmtId="0" fontId="4" fillId="15" borderId="0" xfId="0" applyFont="1" applyFill="1" applyAlignment="1">
      <alignment horizontal="center"/>
    </xf>
    <xf numFmtId="0" fontId="15" fillId="12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11" fillId="18" borderId="0" xfId="0" applyFont="1" applyFill="1" applyAlignment="1">
      <alignment horizontal="left"/>
    </xf>
    <xf numFmtId="0" fontId="0" fillId="19" borderId="0" xfId="0" applyFill="1" applyAlignment="1">
      <alignment horizontal="left"/>
    </xf>
    <xf numFmtId="0" fontId="11" fillId="18" borderId="0" xfId="0" applyFont="1" applyFill="1" applyAlignment="1">
      <alignment horizontal="center"/>
    </xf>
    <xf numFmtId="0" fontId="0" fillId="19" borderId="0" xfId="0" applyFill="1"/>
    <xf numFmtId="0" fontId="14" fillId="16" borderId="0" xfId="0" applyFont="1" applyFill="1" applyAlignment="1">
      <alignment horizontal="center" vertical="center"/>
    </xf>
    <xf numFmtId="0" fontId="6" fillId="12" borderId="0" xfId="0" applyFont="1" applyFill="1" applyAlignment="1">
      <alignment horizontal="center"/>
    </xf>
    <xf numFmtId="0" fontId="4" fillId="13" borderId="0" xfId="0" applyFont="1" applyFill="1" applyAlignment="1">
      <alignment horizontal="center"/>
    </xf>
    <xf numFmtId="0" fontId="6" fillId="14" borderId="0" xfId="0" applyFont="1" applyFill="1"/>
    <xf numFmtId="0" fontId="6" fillId="12" borderId="0" xfId="0" applyFont="1" applyFill="1"/>
    <xf numFmtId="0" fontId="8" fillId="0" borderId="0" xfId="0" applyFont="1" applyFill="1"/>
    <xf numFmtId="0" fontId="0" fillId="0" borderId="0" xfId="0" applyFill="1"/>
    <xf numFmtId="0" fontId="6" fillId="0" borderId="0" xfId="0" applyFont="1" applyFill="1"/>
    <xf numFmtId="0" fontId="1" fillId="18" borderId="0" xfId="0" applyFont="1" applyFill="1" applyAlignment="1">
      <alignment horizontal="center"/>
    </xf>
    <xf numFmtId="0" fontId="22" fillId="19" borderId="0" xfId="0" applyFont="1" applyFill="1"/>
    <xf numFmtId="2" fontId="6" fillId="0" borderId="0" xfId="0" applyNumberFormat="1" applyFont="1"/>
  </cellXfs>
  <cellStyles count="1">
    <cellStyle name="Normal" xfId="0" builtinId="0"/>
  </cellStyles>
  <dxfs count="59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25" formatCode="hh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  <border outline="0">
        <left style="thin">
          <color rgb="FFD9D9D9"/>
        </left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numFmt numFmtId="0" formatCode="General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numFmt numFmtId="164" formatCode="[h]:mm"/>
    </dxf>
    <dxf>
      <numFmt numFmtId="164" formatCode="[h]:mm"/>
    </dxf>
    <dxf>
      <numFmt numFmtId="164" formatCode="[h]:mm"/>
    </dxf>
    <dxf>
      <numFmt numFmtId="0" formatCode="General"/>
    </dxf>
    <dxf>
      <font>
        <b/>
        <strike val="0"/>
        <outline val="0"/>
        <shadow val="0"/>
        <u val="none"/>
        <vertAlign val="baseline"/>
        <sz val="11"/>
        <color rgb="FFFF0000"/>
        <name val="Calibri"/>
        <family val="2"/>
      </font>
      <numFmt numFmtId="164" formatCode="[h]:mm"/>
      <border diagonalUp="0" diagonalDown="0" outline="0">
        <left/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strike val="0"/>
        <outline val="0"/>
        <shadow val="0"/>
        <u val="none"/>
        <vertAlign val="baseline"/>
        <sz val="11"/>
        <color theme="3" tint="-0.249977111117893"/>
        <name val="Calibri"/>
        <family val="2"/>
        <scheme val="minor"/>
      </font>
      <numFmt numFmtId="164" formatCode="[h]:mm"/>
    </dxf>
    <dxf>
      <numFmt numFmtId="165" formatCode="h:mm;@"/>
      <border diagonalUp="0" diagonalDown="0" outline="0">
        <left style="thin">
          <color rgb="FFD9D9D9"/>
        </left>
        <right/>
        <top style="thin">
          <color rgb="FFD9D9D9"/>
        </top>
        <bottom style="thin">
          <color rgb="FFD9D9D9"/>
        </bottom>
      </border>
    </dxf>
    <dxf>
      <numFmt numFmtId="165" formatCode="h:mm;@"/>
    </dxf>
    <dxf>
      <font>
        <b/>
        <strike val="0"/>
        <outline val="0"/>
        <shadow val="0"/>
        <u val="none"/>
        <vertAlign val="baseline"/>
        <sz val="11"/>
        <color rgb="FFFF0000"/>
        <name val="Calibri"/>
        <family val="2"/>
      </font>
      <numFmt numFmtId="2" formatCode="0.0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numFmt numFmtId="2" formatCode="0.00"/>
      <border diagonalUp="0" diagonalDown="0" outline="0">
        <left style="thin">
          <color rgb="FFD9D9D9"/>
        </left>
        <right/>
        <top style="thin">
          <color rgb="FFD9D9D9"/>
        </top>
        <bottom style="thin">
          <color rgb="FFD9D9D9"/>
        </bottom>
      </border>
    </dxf>
    <dxf>
      <numFmt numFmtId="2" formatCode="0.0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2" formatCode="0.00"/>
      <border diagonalUp="0" diagonalDown="0" outline="0">
        <left/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strike val="0"/>
        <outline val="0"/>
        <shadow val="0"/>
        <u val="none"/>
        <vertAlign val="baseline"/>
        <sz val="11"/>
        <color theme="3" tint="-0.249977111117893"/>
        <name val="Calibri"/>
        <family val="2"/>
        <scheme val="minor"/>
      </font>
      <numFmt numFmtId="2" formatCode="0.00"/>
    </dxf>
    <dxf>
      <numFmt numFmtId="2" formatCode="0.00"/>
    </dxf>
    <dxf>
      <numFmt numFmtId="2" formatCode="0.00"/>
    </dxf>
    <dxf>
      <font>
        <b/>
        <strike val="0"/>
        <outline val="0"/>
        <shadow val="0"/>
        <u val="none"/>
        <vertAlign val="baseline"/>
        <sz val="11"/>
        <color rgb="FFFF0000"/>
        <name val="Calibri"/>
        <family val="2"/>
      </font>
      <numFmt numFmtId="164" formatCode="[h]:mm"/>
    </dxf>
    <dxf>
      <font>
        <b/>
        <strike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numFmt numFmtId="165" formatCode="h:mm;@"/>
    </dxf>
    <dxf>
      <font>
        <b/>
        <strike val="0"/>
        <outline val="0"/>
        <shadow val="0"/>
        <u val="none"/>
        <vertAlign val="baseline"/>
        <sz val="11"/>
        <color theme="3"/>
        <name val="Calibri"/>
        <family val="2"/>
      </font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Curva S - consumo</a:t>
            </a:r>
          </a:p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>
        <c:manualLayout>
          <c:xMode val="edge"/>
          <c:yMode val="edge"/>
          <c:x val="0.33153591269841265"/>
          <c:y val="1.3229166666666667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9212896825396834E-2"/>
          <c:y val="9.7013888888888886E-2"/>
          <c:w val="0.94456349206349211"/>
          <c:h val="0.74832222222222222"/>
        </c:manualLayout>
      </c:layout>
      <c:lineChart>
        <c:grouping val="standard"/>
        <c:varyColors val="1"/>
        <c:ser>
          <c:idx val="0"/>
          <c:order val="0"/>
          <c:tx>
            <c:strRef>
              <c:f>QUÍMICOS!$A$37</c:f>
              <c:strCache>
                <c:ptCount val="1"/>
                <c:pt idx="0">
                  <c:v>Planejado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5908-4266-BABF-D9BAA66964E5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5908-4266-BABF-D9BAA66964E5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5908-4266-BABF-D9BAA66964E5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7-5908-4266-BABF-D9BAA66964E5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9-5908-4266-BABF-D9BAA66964E5}"/>
              </c:ext>
            </c:extLst>
          </c:dPt>
          <c:dLbls>
            <c:dLbl>
              <c:idx val="1"/>
              <c:layout>
                <c:manualLayout>
                  <c:x val="-1.0122550470664852E-2"/>
                  <c:y val="0.1223318916121400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908-4266-BABF-D9BAA66964E5}"/>
                </c:ext>
              </c:extLst>
            </c:dLbl>
            <c:dLbl>
              <c:idx val="4"/>
              <c:layout>
                <c:manualLayout>
                  <c:x val="-1.2587768634183977E-2"/>
                  <c:y val="8.92018779342722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908-4266-BABF-D9BAA66964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QUÍMICOS!$B$36:$F$36</c:f>
              <c:strCache>
                <c:ptCount val="5"/>
                <c:pt idx="0">
                  <c:v>CMC</c:v>
                </c:pt>
                <c:pt idx="1">
                  <c:v>Goma X</c:v>
                </c:pt>
                <c:pt idx="2">
                  <c:v>Barrilha</c:v>
                </c:pt>
                <c:pt idx="3">
                  <c:v>Hexa T</c:v>
                </c:pt>
                <c:pt idx="4">
                  <c:v>Bentonita</c:v>
                </c:pt>
              </c:strCache>
            </c:strRef>
          </c:cat>
          <c:val>
            <c:numRef>
              <c:f>QUÍMICOS!$B$37:$F$37</c:f>
              <c:numCache>
                <c:formatCode>General</c:formatCode>
                <c:ptCount val="5"/>
                <c:pt idx="0">
                  <c:v>486.36</c:v>
                </c:pt>
                <c:pt idx="1">
                  <c:v>0</c:v>
                </c:pt>
                <c:pt idx="2">
                  <c:v>3.65</c:v>
                </c:pt>
                <c:pt idx="3">
                  <c:v>341.28</c:v>
                </c:pt>
                <c:pt idx="4" formatCode="#,##0">
                  <c:v>21375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5908-4266-BABF-D9BAA66964E5}"/>
            </c:ext>
          </c:extLst>
        </c:ser>
        <c:ser>
          <c:idx val="1"/>
          <c:order val="1"/>
          <c:tx>
            <c:strRef>
              <c:f>QUÍMICOS!$A$38</c:f>
              <c:strCache>
                <c:ptCount val="1"/>
                <c:pt idx="0">
                  <c:v>Realizado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4.4467467882304185E-2"/>
                  <c:y val="-8.45070422535211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5908-4266-BABF-D9BAA66964E5}"/>
                </c:ext>
              </c:extLst>
            </c:dLbl>
            <c:dLbl>
              <c:idx val="2"/>
              <c:layout>
                <c:manualLayout>
                  <c:x val="-3.8446115288220555E-2"/>
                  <c:y val="-7.04225352112676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5908-4266-BABF-D9BAA66964E5}"/>
                </c:ext>
              </c:extLst>
            </c:dLbl>
            <c:dLbl>
              <c:idx val="3"/>
              <c:layout>
                <c:manualLayout>
                  <c:x val="-4.0952380952380955E-2"/>
                  <c:y val="-7.98122065727700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5908-4266-BABF-D9BAA66964E5}"/>
                </c:ext>
              </c:extLst>
            </c:dLbl>
            <c:dLbl>
              <c:idx val="4"/>
              <c:layout>
                <c:manualLayout>
                  <c:x val="-5.5989974937343361E-2"/>
                  <c:y val="-7.98122065727699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5908-4266-BABF-D9BAA66964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QUÍMICOS!$B$36:$F$36</c:f>
              <c:strCache>
                <c:ptCount val="5"/>
                <c:pt idx="0">
                  <c:v>CMC</c:v>
                </c:pt>
                <c:pt idx="1">
                  <c:v>Goma X</c:v>
                </c:pt>
                <c:pt idx="2">
                  <c:v>Barrilha</c:v>
                </c:pt>
                <c:pt idx="3">
                  <c:v>Hexa T</c:v>
                </c:pt>
                <c:pt idx="4">
                  <c:v>Bentonita</c:v>
                </c:pt>
              </c:strCache>
            </c:strRef>
          </c:cat>
          <c:val>
            <c:numRef>
              <c:f>QUÍMICOS!$B$38:$F$38</c:f>
              <c:numCache>
                <c:formatCode>General</c:formatCode>
                <c:ptCount val="5"/>
                <c:pt idx="0">
                  <c:v>2202</c:v>
                </c:pt>
                <c:pt idx="1">
                  <c:v>937</c:v>
                </c:pt>
                <c:pt idx="2">
                  <c:v>858.5</c:v>
                </c:pt>
                <c:pt idx="3">
                  <c:v>400</c:v>
                </c:pt>
                <c:pt idx="4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5908-4266-BABF-D9BAA66964E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9267440476190474"/>
          <c:y val="0.88194444444444442"/>
          <c:w val="0.36080178571428573"/>
          <c:h val="7.4414583333333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PLANEJADO x Realizado</a:t>
            </a:r>
          </a:p>
        </c:rich>
      </c:tx>
      <c:layout>
        <c:manualLayout>
          <c:xMode val="edge"/>
          <c:yMode val="edge"/>
          <c:x val="0.26054492851919753"/>
          <c:y val="9.4074074074074074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1254095798844604E-2"/>
          <c:y val="3.5889601428687398E-2"/>
          <c:w val="0.94825925925925925"/>
          <c:h val="0.8965185185185184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QUÍMICOS!$A$37</c:f>
              <c:strCache>
                <c:ptCount val="1"/>
                <c:pt idx="0">
                  <c:v>Planejado</c:v>
                </c:pt>
              </c:strCache>
            </c:strRef>
          </c:tx>
          <c:spPr>
            <a:solidFill>
              <a:srgbClr val="F79646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QUÍMICOS!$B$36:$F$36</c:f>
              <c:strCache>
                <c:ptCount val="5"/>
                <c:pt idx="0">
                  <c:v>CMC</c:v>
                </c:pt>
                <c:pt idx="1">
                  <c:v>Goma X</c:v>
                </c:pt>
                <c:pt idx="2">
                  <c:v>Barrilha</c:v>
                </c:pt>
                <c:pt idx="3">
                  <c:v>Hexa T</c:v>
                </c:pt>
                <c:pt idx="4">
                  <c:v>Bentonita</c:v>
                </c:pt>
              </c:strCache>
            </c:strRef>
          </c:cat>
          <c:val>
            <c:numRef>
              <c:f>QUÍMICOS!$B$37:$F$37</c:f>
              <c:numCache>
                <c:formatCode>General</c:formatCode>
                <c:ptCount val="5"/>
                <c:pt idx="0">
                  <c:v>486.36</c:v>
                </c:pt>
                <c:pt idx="1">
                  <c:v>0</c:v>
                </c:pt>
                <c:pt idx="2">
                  <c:v>3.65</c:v>
                </c:pt>
                <c:pt idx="3">
                  <c:v>341.28</c:v>
                </c:pt>
                <c:pt idx="4" formatCode="#,##0">
                  <c:v>21375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C261-4534-84D4-072115CF944D}"/>
            </c:ext>
          </c:extLst>
        </c:ser>
        <c:ser>
          <c:idx val="1"/>
          <c:order val="1"/>
          <c:tx>
            <c:strRef>
              <c:f>QUÍMICOS!$A$38</c:f>
              <c:strCache>
                <c:ptCount val="1"/>
                <c:pt idx="0">
                  <c:v>Realizado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QUÍMICOS!$B$36:$F$36</c:f>
              <c:strCache>
                <c:ptCount val="5"/>
                <c:pt idx="0">
                  <c:v>CMC</c:v>
                </c:pt>
                <c:pt idx="1">
                  <c:v>Goma X</c:v>
                </c:pt>
                <c:pt idx="2">
                  <c:v>Barrilha</c:v>
                </c:pt>
                <c:pt idx="3">
                  <c:v>Hexa T</c:v>
                </c:pt>
                <c:pt idx="4">
                  <c:v>Bentonita</c:v>
                </c:pt>
              </c:strCache>
            </c:strRef>
          </c:cat>
          <c:val>
            <c:numRef>
              <c:f>QUÍMICOS!$B$38:$F$38</c:f>
              <c:numCache>
                <c:formatCode>General</c:formatCode>
                <c:ptCount val="5"/>
                <c:pt idx="0">
                  <c:v>2202</c:v>
                </c:pt>
                <c:pt idx="1">
                  <c:v>937</c:v>
                </c:pt>
                <c:pt idx="2">
                  <c:v>858.5</c:v>
                </c:pt>
                <c:pt idx="3">
                  <c:v>400</c:v>
                </c:pt>
                <c:pt idx="4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61-4534-84D4-072115CF944D}"/>
            </c:ext>
          </c:extLst>
        </c:ser>
        <c:ser>
          <c:idx val="2"/>
          <c:order val="2"/>
          <c:tx>
            <c:strRef>
              <c:f>QUÍMICOS!$A$39</c:f>
              <c:strCache>
                <c:ptCount val="1"/>
                <c:pt idx="0">
                  <c:v>Imprevisto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QUÍMICOS!$B$36:$F$36</c:f>
              <c:strCache>
                <c:ptCount val="5"/>
                <c:pt idx="0">
                  <c:v>CMC</c:v>
                </c:pt>
                <c:pt idx="1">
                  <c:v>Goma X</c:v>
                </c:pt>
                <c:pt idx="2">
                  <c:v>Barrilha</c:v>
                </c:pt>
                <c:pt idx="3">
                  <c:v>Hexa T</c:v>
                </c:pt>
                <c:pt idx="4">
                  <c:v>Bentonita</c:v>
                </c:pt>
              </c:strCache>
            </c:strRef>
          </c:cat>
          <c:val>
            <c:numRef>
              <c:f>QUÍMICOS!$B$39:$F$39</c:f>
              <c:numCache>
                <c:formatCode>General</c:formatCode>
                <c:ptCount val="5"/>
                <c:pt idx="0">
                  <c:v>1715.6399999999999</c:v>
                </c:pt>
                <c:pt idx="1">
                  <c:v>937</c:v>
                </c:pt>
                <c:pt idx="2">
                  <c:v>854.85</c:v>
                </c:pt>
                <c:pt idx="3">
                  <c:v>58.720000000000027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261-4534-84D4-072115CF94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5590248722110759"/>
          <c:y val="0.22331065833265687"/>
          <c:w val="0.43083246796455182"/>
          <c:h val="6.95881159184998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Distribuição Perfuração</a:t>
            </a:r>
          </a:p>
        </c:rich>
      </c:tx>
      <c:layout>
        <c:manualLayout>
          <c:xMode val="edge"/>
          <c:yMode val="edge"/>
          <c:x val="0.34669749799972799"/>
          <c:y val="2.8925619834710745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5761614096706702E-2"/>
          <c:y val="6.6115702479338845E-2"/>
          <c:w val="0.94021739130434778"/>
          <c:h val="0.7641595626992906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PERFURAÇÃO!$A$77</c:f>
              <c:strCache>
                <c:ptCount val="1"/>
                <c:pt idx="0">
                  <c:v>Metros Perfuração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PERFURAÇÃO!$A$76</c:f>
              <c:strCache>
                <c:ptCount val="1"/>
                <c:pt idx="0">
                  <c:v>Perfuração</c:v>
                </c:pt>
              </c:strCache>
            </c:strRef>
          </c:cat>
          <c:val>
            <c:numRef>
              <c:f>PERFURAÇÃO!$B$77</c:f>
              <c:numCache>
                <c:formatCode>0.00</c:formatCode>
                <c:ptCount val="1"/>
                <c:pt idx="0">
                  <c:v>355.44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37-4A09-A7FE-9C20909E8288}"/>
            </c:ext>
          </c:extLst>
        </c:ser>
        <c:ser>
          <c:idx val="1"/>
          <c:order val="1"/>
          <c:tx>
            <c:strRef>
              <c:f>PERFURAÇÃO!$A$78</c:f>
              <c:strCache>
                <c:ptCount val="1"/>
                <c:pt idx="0">
                  <c:v>Min/Metro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-1.9567460514945405E-3"/>
                  <c:y val="-3.715949762478037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137-4A09-A7FE-9C20909E82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PERFURAÇÃO!$A$76</c:f>
              <c:strCache>
                <c:ptCount val="1"/>
                <c:pt idx="0">
                  <c:v>Perfuração</c:v>
                </c:pt>
              </c:strCache>
            </c:strRef>
          </c:cat>
          <c:val>
            <c:numRef>
              <c:f>PERFURAÇÃO!$B$78</c:f>
              <c:numCache>
                <c:formatCode>[h]:mm</c:formatCode>
                <c:ptCount val="1"/>
                <c:pt idx="0">
                  <c:v>1.5022460424638008E-2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37-4A09-A7FE-9C20909E8288}"/>
            </c:ext>
          </c:extLst>
        </c:ser>
        <c:ser>
          <c:idx val="2"/>
          <c:order val="2"/>
          <c:tx>
            <c:strRef>
              <c:f>PERFURAÇÃO!$A$79</c:f>
              <c:strCache>
                <c:ptCount val="1"/>
                <c:pt idx="0">
                  <c:v>Tempo Perfuração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-5.8702381544834779E-3"/>
                  <c:y val="-3.006019392204073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137-4A09-A7FE-9C20909E82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PERFURAÇÃO!$A$76</c:f>
              <c:strCache>
                <c:ptCount val="1"/>
                <c:pt idx="0">
                  <c:v>Perfuração</c:v>
                </c:pt>
              </c:strCache>
            </c:strRef>
          </c:cat>
          <c:val>
            <c:numRef>
              <c:f>PERFURAÇÃO!$B$79</c:f>
              <c:numCache>
                <c:formatCode>[h]:mm</c:formatCode>
                <c:ptCount val="1"/>
                <c:pt idx="0">
                  <c:v>5.3395833333333336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37-4A09-A7FE-9C20909E8288}"/>
            </c:ext>
          </c:extLst>
        </c:ser>
        <c:ser>
          <c:idx val="3"/>
          <c:order val="3"/>
          <c:tx>
            <c:strRef>
              <c:f>PERFURAÇÃO!$A$80</c:f>
              <c:strCache>
                <c:ptCount val="1"/>
                <c:pt idx="0">
                  <c:v>Dias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hade val="51000"/>
                    <a:satMod val="130000"/>
                  </a:schemeClr>
                </a:gs>
                <a:gs pos="80000">
                  <a:schemeClr val="accent6">
                    <a:lumMod val="60000"/>
                    <a:shade val="93000"/>
                    <a:satMod val="130000"/>
                  </a:schemeClr>
                </a:gs>
                <a:gs pos="100000">
                  <a:schemeClr val="accent6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-3.913492102989081E-3"/>
                  <c:y val="-2.798724539597854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137-4A09-A7FE-9C20909E82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PERFURAÇÃO!$A$76</c:f>
              <c:strCache>
                <c:ptCount val="1"/>
                <c:pt idx="0">
                  <c:v>Perfuração</c:v>
                </c:pt>
              </c:strCache>
            </c:strRef>
          </c:cat>
          <c:val>
            <c:numRef>
              <c:f>PERFURAÇÃO!$B$80</c:f>
              <c:numCache>
                <c:formatCode>[h]:mm</c:formatCode>
                <c:ptCount val="1"/>
                <c:pt idx="0">
                  <c:v>0.44496527777777778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37-4A09-A7FE-9C20909E828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Distribuição Reabertura</a:t>
            </a:r>
          </a:p>
        </c:rich>
      </c:tx>
      <c:layout>
        <c:manualLayout>
          <c:xMode val="edge"/>
          <c:yMode val="edge"/>
          <c:x val="0.34669749799972799"/>
          <c:y val="2.8925619834710745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5761614096706702E-2"/>
          <c:y val="6.6115702479338845E-2"/>
          <c:w val="0.94021739130434778"/>
          <c:h val="0.7641595626992906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PERFURAÇÃO!$A$83</c:f>
              <c:strCache>
                <c:ptCount val="1"/>
                <c:pt idx="0">
                  <c:v>Metros Reabertura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PERFURAÇÃO!$A$82</c:f>
              <c:strCache>
                <c:ptCount val="1"/>
                <c:pt idx="0">
                  <c:v>Reabertura</c:v>
                </c:pt>
              </c:strCache>
            </c:strRef>
          </c:cat>
          <c:val>
            <c:numRef>
              <c:f>PERFURAÇÃO!$B$83</c:f>
              <c:numCache>
                <c:formatCode>0.00</c:formatCode>
                <c:ptCount val="1"/>
                <c:pt idx="0">
                  <c:v>210.41000000000003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41-4954-A75F-E57AEF79E82E}"/>
            </c:ext>
          </c:extLst>
        </c:ser>
        <c:ser>
          <c:idx val="1"/>
          <c:order val="1"/>
          <c:tx>
            <c:strRef>
              <c:f>PERFURAÇÃO!$A$84</c:f>
              <c:strCache>
                <c:ptCount val="1"/>
                <c:pt idx="0">
                  <c:v>Tempo Reabertura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-1.9567460514945405E-3"/>
                  <c:y val="-3.715949762478037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041-4954-A75F-E57AEF79E8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PERFURAÇÃO!$A$82</c:f>
              <c:strCache>
                <c:ptCount val="1"/>
                <c:pt idx="0">
                  <c:v>Reabertura</c:v>
                </c:pt>
              </c:strCache>
            </c:strRef>
          </c:cat>
          <c:val>
            <c:numRef>
              <c:f>PERFURAÇÃO!$B$84</c:f>
              <c:numCache>
                <c:formatCode>[h]:mm</c:formatCode>
                <c:ptCount val="1"/>
                <c:pt idx="0">
                  <c:v>4.2312500000000011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41-4954-A75F-E57AEF79E82E}"/>
            </c:ext>
          </c:extLst>
        </c:ser>
        <c:ser>
          <c:idx val="2"/>
          <c:order val="2"/>
          <c:tx>
            <c:strRef>
              <c:f>PERFURAÇÃO!$A$85</c:f>
              <c:strCache>
                <c:ptCount val="1"/>
                <c:pt idx="0">
                  <c:v>Min/Metro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-5.8702381544834779E-3"/>
                  <c:y val="-3.006019392204073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041-4954-A75F-E57AEF79E8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PERFURAÇÃO!$A$82</c:f>
              <c:strCache>
                <c:ptCount val="1"/>
                <c:pt idx="0">
                  <c:v>Reabertura</c:v>
                </c:pt>
              </c:strCache>
            </c:strRef>
          </c:cat>
          <c:val>
            <c:numRef>
              <c:f>PERFURAÇÃO!$B$85</c:f>
              <c:numCache>
                <c:formatCode>[h]:mm</c:formatCode>
                <c:ptCount val="1"/>
                <c:pt idx="0">
                  <c:v>2.0109548025283971E-2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41-4954-A75F-E57AEF79E82E}"/>
            </c:ext>
          </c:extLst>
        </c:ser>
        <c:ser>
          <c:idx val="3"/>
          <c:order val="3"/>
          <c:tx>
            <c:strRef>
              <c:f>PERFURAÇÃO!$A$86</c:f>
              <c:strCache>
                <c:ptCount val="1"/>
                <c:pt idx="0">
                  <c:v>Dias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hade val="51000"/>
                    <a:satMod val="130000"/>
                  </a:schemeClr>
                </a:gs>
                <a:gs pos="80000">
                  <a:schemeClr val="accent6">
                    <a:lumMod val="60000"/>
                    <a:shade val="93000"/>
                    <a:satMod val="130000"/>
                  </a:schemeClr>
                </a:gs>
                <a:gs pos="100000">
                  <a:schemeClr val="accent6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-3.913492102989081E-3"/>
                  <c:y val="-2.798724539597854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041-4954-A75F-E57AEF79E8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PERFURAÇÃO!$A$82</c:f>
              <c:strCache>
                <c:ptCount val="1"/>
                <c:pt idx="0">
                  <c:v>Reabertura</c:v>
                </c:pt>
              </c:strCache>
            </c:strRef>
          </c:cat>
          <c:val>
            <c:numRef>
              <c:f>PERFURAÇÃO!$B$86</c:f>
              <c:numCache>
                <c:formatCode>[h]:mm</c:formatCode>
                <c:ptCount val="1"/>
                <c:pt idx="0">
                  <c:v>0.35260416666666677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41-4954-A75F-E57AEF79E82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Tempo</a:t>
            </a:r>
            <a:r>
              <a:rPr lang="en-US" baseline="0"/>
              <a:t> Total do Poço</a:t>
            </a:r>
            <a:endParaRPr lang="en-US"/>
          </a:p>
        </c:rich>
      </c:tx>
      <c:layout>
        <c:manualLayout>
          <c:xMode val="edge"/>
          <c:yMode val="edge"/>
          <c:x val="0.34669749799972799"/>
          <c:y val="2.8925619834710745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5761614096706702E-2"/>
          <c:y val="6.6115702479338845E-2"/>
          <c:w val="0.94021739130434778"/>
          <c:h val="0.7641595626992906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PERFURAÇÃO!$A$89</c:f>
              <c:strCache>
                <c:ptCount val="1"/>
                <c:pt idx="0">
                  <c:v>Tempo total de execução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PERFURAÇÃO!$A$88</c:f>
              <c:strCache>
                <c:ptCount val="1"/>
                <c:pt idx="0">
                  <c:v>Finalização Total</c:v>
                </c:pt>
              </c:strCache>
            </c:strRef>
          </c:cat>
          <c:val>
            <c:numRef>
              <c:f>PERFURAÇÃO!$B$89</c:f>
              <c:numCache>
                <c:formatCode>[h]:mm</c:formatCode>
                <c:ptCount val="1"/>
                <c:pt idx="0">
                  <c:v>9.5708333333333346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5F-4EDE-81F4-474B77940872}"/>
            </c:ext>
          </c:extLst>
        </c:ser>
        <c:ser>
          <c:idx val="1"/>
          <c:order val="1"/>
          <c:tx>
            <c:strRef>
              <c:f>PERFURAÇÃO!$A$90</c:f>
              <c:strCache>
                <c:ptCount val="1"/>
                <c:pt idx="0">
                  <c:v>Dias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-1.9567460514945405E-3"/>
                  <c:y val="-3.715949762478037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B5F-4EDE-81F4-474B779408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PERFURAÇÃO!$A$88</c:f>
              <c:strCache>
                <c:ptCount val="1"/>
                <c:pt idx="0">
                  <c:v>Finalização Total</c:v>
                </c:pt>
              </c:strCache>
            </c:strRef>
          </c:cat>
          <c:val>
            <c:numRef>
              <c:f>PERFURAÇÃO!$B$90</c:f>
              <c:numCache>
                <c:formatCode>[h]:mm</c:formatCode>
                <c:ptCount val="1"/>
                <c:pt idx="0">
                  <c:v>0.79756944444444455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5F-4EDE-81F4-474B7794087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[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 Horas Paradas</a:t>
            </a:r>
          </a:p>
        </c:rich>
      </c:tx>
      <c:layout>
        <c:manualLayout>
          <c:xMode val="edge"/>
          <c:yMode val="edge"/>
          <c:x val="0.21452037473418012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27767531049328"/>
          <c:y val="8.4615358989897332E-2"/>
          <c:w val="0.63171885531561378"/>
          <c:h val="0.91538464101010264"/>
        </c:manualLayout>
      </c:layout>
      <c:pieChart>
        <c:varyColors val="1"/>
        <c:ser>
          <c:idx val="0"/>
          <c:order val="0"/>
          <c:tx>
            <c:strRef>
              <c:f>DASHBOARD!$E$5</c:f>
              <c:strCache>
                <c:ptCount val="1"/>
                <c:pt idx="0">
                  <c:v>Horas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DE3-42A0-AA2E-75C3C0B76A1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DE3-42A0-AA2E-75C3C0B76A1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DE3-42A0-AA2E-75C3C0B76A1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DE3-42A0-AA2E-75C3C0B76A1A}"/>
              </c:ext>
            </c:extLst>
          </c:dPt>
          <c:dLbls>
            <c:numFmt formatCode="0.00%" sourceLinked="0"/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DASHBOARD!$D$6:$D$9</c:f>
              <c:strCache>
                <c:ptCount val="4"/>
                <c:pt idx="0">
                  <c:v>DH-GEL ENGENHARIA</c:v>
                </c:pt>
                <c:pt idx="1">
                  <c:v>PARC  DAS ARTES</c:v>
                </c:pt>
                <c:pt idx="2">
                  <c:v>Chuva</c:v>
                </c:pt>
                <c:pt idx="3">
                  <c:v>Mecânica</c:v>
                </c:pt>
              </c:strCache>
            </c:strRef>
          </c:cat>
          <c:val>
            <c:numRef>
              <c:f>DASHBOARD!$E$6:$E$9</c:f>
              <c:numCache>
                <c:formatCode>[h]:mm</c:formatCode>
                <c:ptCount val="4"/>
                <c:pt idx="0">
                  <c:v>8.3868055555555561</c:v>
                </c:pt>
                <c:pt idx="1">
                  <c:v>9.7534722222222232</c:v>
                </c:pt>
                <c:pt idx="2">
                  <c:v>0.32847222222222217</c:v>
                </c:pt>
                <c:pt idx="3">
                  <c:v>4.0201388888888889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DE3-42A0-AA2E-75C3C0B76A1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Curva S - Horas Trabalhada</a:t>
            </a:r>
          </a:p>
        </c:rich>
      </c:tx>
      <c:layout>
        <c:manualLayout>
          <c:xMode val="edge"/>
          <c:yMode val="edge"/>
          <c:x val="0.23074226190476191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343452380952384E-2"/>
          <c:y val="8.3784722222222219E-2"/>
          <c:w val="0.94456349206349211"/>
          <c:h val="0.74832222222222222"/>
        </c:manualLayout>
      </c:layout>
      <c:lineChart>
        <c:grouping val="standard"/>
        <c:varyColors val="1"/>
        <c:ser>
          <c:idx val="0"/>
          <c:order val="0"/>
          <c:tx>
            <c:strRef>
              <c:f>DASHBOARD!$E$12</c:f>
              <c:strCache>
                <c:ptCount val="1"/>
                <c:pt idx="0">
                  <c:v>Trabalhada</c:v>
                </c:pt>
              </c:strCache>
            </c:strRef>
          </c:tx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7E9-4CE3-9A9A-4A4966357E79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7E9-4CE3-9A9A-4A4966357E79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7E9-4CE3-9A9A-4A4966357E79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34925" cap="rnd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7E9-4CE3-9A9A-4A4966357E79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34925" cap="rnd">
                <a:solidFill>
                  <a:schemeClr val="accent5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7E9-4CE3-9A9A-4A4966357E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DASHBOARD!$D$13:$D$17</c:f>
              <c:strCache>
                <c:ptCount val="4"/>
                <c:pt idx="0">
                  <c:v>Fevereiro</c:v>
                </c:pt>
                <c:pt idx="1">
                  <c:v>Março</c:v>
                </c:pt>
                <c:pt idx="2">
                  <c:v>Abril</c:v>
                </c:pt>
                <c:pt idx="3">
                  <c:v>Maio</c:v>
                </c:pt>
              </c:strCache>
            </c:strRef>
          </c:cat>
          <c:val>
            <c:numRef>
              <c:f>DASHBOARD!$E$13:$E$17</c:f>
              <c:numCache>
                <c:formatCode>[h]:mm</c:formatCode>
                <c:ptCount val="5"/>
                <c:pt idx="0">
                  <c:v>4.8451388888888891</c:v>
                </c:pt>
                <c:pt idx="1">
                  <c:v>11.177083333333334</c:v>
                </c:pt>
                <c:pt idx="2">
                  <c:v>18.584027777777777</c:v>
                </c:pt>
                <c:pt idx="3">
                  <c:v>10.474305555555553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C7E9-4CE3-9A9A-4A4966357E7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[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Comparativo de Horas Paradas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DASHBOARD!$B$15</c:f>
              <c:strCache>
                <c:ptCount val="1"/>
                <c:pt idx="0">
                  <c:v>Horas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7799-4265-85FD-931EBB55B64E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7799-4265-85FD-931EBB55B64E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7799-4265-85FD-931EBB55B64E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7799-4265-85FD-931EBB55B64E}"/>
              </c:ext>
            </c:extLst>
          </c:dPt>
          <c:cat>
            <c:strRef>
              <c:f>DASHBOARD!$A$16:$A$19</c:f>
              <c:strCache>
                <c:ptCount val="4"/>
                <c:pt idx="0">
                  <c:v>DH-GEL ENGENHARIA</c:v>
                </c:pt>
                <c:pt idx="1">
                  <c:v>PARC  DAS ARTES</c:v>
                </c:pt>
                <c:pt idx="2">
                  <c:v>Chuva</c:v>
                </c:pt>
                <c:pt idx="3">
                  <c:v>Parada Mecânica</c:v>
                </c:pt>
              </c:strCache>
            </c:strRef>
          </c:cat>
          <c:val>
            <c:numRef>
              <c:f>DASHBOARD!$B$16:$B$19</c:f>
              <c:numCache>
                <c:formatCode>[h]:mm</c:formatCode>
                <c:ptCount val="4"/>
                <c:pt idx="0">
                  <c:v>8.3868055555555561</c:v>
                </c:pt>
                <c:pt idx="1">
                  <c:v>9.7534722222222232</c:v>
                </c:pt>
                <c:pt idx="2">
                  <c:v>0.32847222222222217</c:v>
                </c:pt>
                <c:pt idx="3">
                  <c:v>4.0201388888888889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799-4265-85FD-931EBB55B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[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Distribuição Horas </a:t>
            </a:r>
          </a:p>
        </c:rich>
      </c:tx>
      <c:layout>
        <c:manualLayout>
          <c:xMode val="edge"/>
          <c:yMode val="edge"/>
          <c:x val="0.2860618613149547"/>
          <c:y val="8.2987551867219917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351479874539494"/>
          <c:y val="0.1037344398340249"/>
          <c:w val="0.5929701644437303"/>
          <c:h val="0.8137961904139575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8EE2-4591-AEB6-234C24F3D99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C48D-4AD5-BBBE-9F7C0D56EDD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C48D-4AD5-BBBE-9F7C0D56EDD7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DASHBOARD!$A$5:$A$7</c15:sqref>
                  </c15:fullRef>
                </c:ext>
              </c:extLst>
              <c:f>DASHBOARD!$A$6:$A$7</c:f>
              <c:strCache>
                <c:ptCount val="2"/>
                <c:pt idx="0">
                  <c:v>Horas Trabalhadas</c:v>
                </c:pt>
                <c:pt idx="1">
                  <c:v>Horas Paradas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DASHBOARD!$B$5:$B$7</c15:sqref>
                  </c15:fullRef>
                </c:ext>
              </c:extLst>
              <c:f>DASHBOARD!$B$6:$B$7</c:f>
              <c:numCache>
                <c:formatCode>[h]:mm</c:formatCode>
                <c:ptCount val="2"/>
                <c:pt idx="0">
                  <c:v>45.080555555555556</c:v>
                </c:pt>
                <c:pt idx="1">
                  <c:v>22.475000000000001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DASHBOARD!$B$5</c15:sqref>
                  <c15:spPr xmlns:c15="http://schemas.microsoft.com/office/drawing/2012/chart">
                    <a:gradFill rotWithShape="1">
                      <a:gsLst>
                        <a:gs pos="0">
                          <a:schemeClr val="accent1">
                            <a:shade val="51000"/>
                            <a:satMod val="130000"/>
                          </a:schemeClr>
                        </a:gs>
                        <a:gs pos="80000">
                          <a:schemeClr val="accent1">
                            <a:shade val="93000"/>
                            <a:satMod val="130000"/>
                          </a:schemeClr>
                        </a:gs>
                        <a:gs pos="100000">
                          <a:schemeClr val="accent1">
                            <a:shade val="94000"/>
                            <a:satMod val="135000"/>
                          </a:schemeClr>
                        </a:gs>
                      </a:gsLst>
                      <a:lin ang="16200000" scaled="0"/>
                    </a:gradFill>
                    <a:ln>
                      <a:noFill/>
                    </a:ln>
                    <a:effectLst>
                      <a:outerShdw blurRad="40000" dist="23000" dir="5400000" rotWithShape="0">
                        <a:srgbClr val="000000">
                          <a:alpha val="35000"/>
                        </a:srgbClr>
                      </a:outerShdw>
                    </a:effectLst>
                    <a:scene3d>
                      <a:camera prst="orthographicFront">
                        <a:rot lat="0" lon="0" rev="0"/>
                      </a:camera>
                      <a:lightRig rig="threePt" dir="t">
                        <a:rot lat="0" lon="0" rev="1200000"/>
                      </a:lightRig>
                    </a:scene3d>
                    <a:sp3d>
                      <a:bevelT w="63500" h="25400"/>
                    </a:sp3d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C48D-4AD5-BBBE-9F7C0D56EDD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116092631278232"/>
          <c:y val="0.91338125265462144"/>
          <c:w val="0.49279530534873622"/>
          <c:h val="7.83199921586565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Distribuição Horas Trabalhadas</a:t>
            </a:r>
          </a:p>
        </c:rich>
      </c:tx>
      <c:layout>
        <c:manualLayout>
          <c:xMode val="edge"/>
          <c:yMode val="edge"/>
          <c:x val="0.21452037473418012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27767531049328"/>
          <c:y val="8.4615358989897332E-2"/>
          <c:w val="0.63171885531561378"/>
          <c:h val="0.9153846410101026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C58D-48F2-A3AD-1AFC1604437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C58D-48F2-A3AD-1AFC1604437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C58D-48F2-A3AD-1AFC1604437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C58D-48F2-A3AD-1AFC16044370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DASHBOARD!$D$13:$D$16</c:f>
              <c:strCache>
                <c:ptCount val="4"/>
                <c:pt idx="0">
                  <c:v>Fevereiro</c:v>
                </c:pt>
                <c:pt idx="1">
                  <c:v>Março</c:v>
                </c:pt>
                <c:pt idx="2">
                  <c:v>Abril</c:v>
                </c:pt>
                <c:pt idx="3">
                  <c:v>Maio</c:v>
                </c:pt>
              </c:strCache>
            </c:strRef>
          </c:cat>
          <c:val>
            <c:numRef>
              <c:f>DASHBOARD!$E$13:$E$16</c:f>
              <c:numCache>
                <c:formatCode>[h]:mm</c:formatCode>
                <c:ptCount val="4"/>
                <c:pt idx="0">
                  <c:v>4.8451388888888891</c:v>
                </c:pt>
                <c:pt idx="1">
                  <c:v>11.177083333333334</c:v>
                </c:pt>
                <c:pt idx="2">
                  <c:v>18.584027777777777</c:v>
                </c:pt>
                <c:pt idx="3">
                  <c:v>10.474305555555553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58D-48F2-A3AD-1AFC1604437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6302273120543533"/>
          <c:y val="0.92108118368142944"/>
          <c:w val="0.42936165372447332"/>
          <c:h val="7.45038068158708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</a:t>
            </a:r>
            <a:r>
              <a:rPr lang="en-US" baseline="0"/>
              <a:t> Parc das Artes</a:t>
            </a:r>
          </a:p>
        </c:rich>
      </c:tx>
      <c:layout>
        <c:manualLayout>
          <c:xMode val="edge"/>
          <c:yMode val="edge"/>
          <c:x val="0.19004750085587124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9891304347826088E-2"/>
          <c:y val="4.5454545454545456E-2"/>
          <c:w val="0.94021739130434778"/>
          <c:h val="0.7641595626992906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'DISTRIBUIÇÃO DE HORAS PARADAS'!$B$4</c:f>
              <c:strCache>
                <c:ptCount val="1"/>
                <c:pt idx="0">
                  <c:v>Horas</c:v>
                </c:pt>
              </c:strCache>
            </c:strRef>
          </c:tx>
          <c:spPr>
            <a:solidFill>
              <a:srgbClr val="F79646">
                <a:alpha val="84706"/>
              </a:srgb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1"/>
          <c:dPt>
            <c:idx val="0"/>
            <c:invertIfNegative val="1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251-4278-97DF-56B1AC06A205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251-4278-97DF-56B1AC06A205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251-4278-97DF-56B1AC06A205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9251-4278-97DF-56B1AC06A2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'DISTRIBUIÇÃO DE HORAS PARADAS'!$A$5:$A$7</c:f>
              <c:strCache>
                <c:ptCount val="3"/>
                <c:pt idx="0">
                  <c:v>Administrativo</c:v>
                </c:pt>
                <c:pt idx="1">
                  <c:v>Equipamento</c:v>
                </c:pt>
                <c:pt idx="2">
                  <c:v>Materiais</c:v>
                </c:pt>
              </c:strCache>
            </c:strRef>
          </c:cat>
          <c:val>
            <c:numRef>
              <c:f>'DISTRIBUIÇÃO DE HORAS PARADAS'!$B$5:$B$7</c:f>
              <c:numCache>
                <c:formatCode>[h]:mm</c:formatCode>
                <c:ptCount val="3"/>
                <c:pt idx="0">
                  <c:v>1.5868055555555554</c:v>
                </c:pt>
                <c:pt idx="1">
                  <c:v>0.16666666666666666</c:v>
                </c:pt>
                <c:pt idx="2">
                  <c:v>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8-9251-4278-97DF-56B1AC06A205}"/>
            </c:ext>
          </c:extLst>
        </c:ser>
        <c:ser>
          <c:idx val="1"/>
          <c:order val="1"/>
          <c:tx>
            <c:strRef>
              <c:f>'DISTRIBUIÇÃO DE HORAS PARADAS'!$C$4</c:f>
              <c:strCache>
                <c:ptCount val="1"/>
                <c:pt idx="0">
                  <c:v>Dias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'DISTRIBUIÇÃO DE HORAS PARADAS'!$A$5:$A$7</c:f>
              <c:strCache>
                <c:ptCount val="3"/>
                <c:pt idx="0">
                  <c:v>Administrativo</c:v>
                </c:pt>
                <c:pt idx="1">
                  <c:v>Equipamento</c:v>
                </c:pt>
                <c:pt idx="2">
                  <c:v>Materiais</c:v>
                </c:pt>
              </c:strCache>
            </c:strRef>
          </c:cat>
          <c:val>
            <c:numRef>
              <c:f>'DISTRIBUIÇÃO DE HORAS PARADAS'!$C$5:$C$7</c:f>
              <c:numCache>
                <c:formatCode>[h]:mm</c:formatCode>
                <c:ptCount val="3"/>
                <c:pt idx="0">
                  <c:v>0.15868055555555555</c:v>
                </c:pt>
                <c:pt idx="1">
                  <c:v>1.6666666666666666E-2</c:v>
                </c:pt>
                <c:pt idx="2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251-4278-97DF-56B1AC06A20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[h]:mm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</a:t>
            </a:r>
            <a:r>
              <a:rPr lang="en-US" baseline="0"/>
              <a:t> DH - Gel Engenharia</a:t>
            </a:r>
            <a:endParaRPr lang="en-US"/>
          </a:p>
        </c:rich>
      </c:tx>
      <c:layout>
        <c:manualLayout>
          <c:xMode val="edge"/>
          <c:yMode val="edge"/>
          <c:x val="0.17646054433413211"/>
          <c:y val="8.2644628099173556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9891304347826088E-2"/>
          <c:y val="4.5454545454545456E-2"/>
          <c:w val="0.94021739130434778"/>
          <c:h val="0.7641595626992906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'DISTRIBUIÇÃO DE HORAS PARADAS'!$F$4</c:f>
              <c:strCache>
                <c:ptCount val="1"/>
                <c:pt idx="0">
                  <c:v>Horas</c:v>
                </c:pt>
              </c:strCache>
            </c:strRef>
          </c:tx>
          <c:spPr>
            <a:solidFill>
              <a:srgbClr val="F79646">
                <a:alpha val="84706"/>
              </a:srgb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1"/>
          <c:dPt>
            <c:idx val="0"/>
            <c:invertIfNegative val="1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42A-49F7-9C05-862A93F63F0A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42A-49F7-9C05-862A93F63F0A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42A-49F7-9C05-862A93F63F0A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42A-49F7-9C05-862A93F63F0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'DISTRIBUIÇÃO DE HORAS PARADAS'!$E$5:$E$8</c:f>
              <c:strCache>
                <c:ptCount val="4"/>
                <c:pt idx="0">
                  <c:v>Falta de Equipe/Administrativo</c:v>
                </c:pt>
                <c:pt idx="1">
                  <c:v>Manutenção de Equipamentos</c:v>
                </c:pt>
                <c:pt idx="2">
                  <c:v>Chuva</c:v>
                </c:pt>
                <c:pt idx="3">
                  <c:v>Materiais</c:v>
                </c:pt>
              </c:strCache>
            </c:strRef>
          </c:cat>
          <c:val>
            <c:numRef>
              <c:f>'DISTRIBUIÇÃO DE HORAS PARADAS'!$F$5:$F$8</c:f>
              <c:numCache>
                <c:formatCode>[h]:mm</c:formatCode>
                <c:ptCount val="4"/>
                <c:pt idx="0">
                  <c:v>7.5048611111111114</c:v>
                </c:pt>
                <c:pt idx="1">
                  <c:v>4.0201388888888889</c:v>
                </c:pt>
                <c:pt idx="2">
                  <c:v>0.32847222222222217</c:v>
                </c:pt>
                <c:pt idx="3" formatCode="h:mm">
                  <c:v>0.88194444444444453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8-042A-49F7-9C05-862A93F63F0A}"/>
            </c:ext>
          </c:extLst>
        </c:ser>
        <c:ser>
          <c:idx val="1"/>
          <c:order val="1"/>
          <c:tx>
            <c:strRef>
              <c:f>'DISTRIBUIÇÃO DE HORAS PARADAS'!$G$4</c:f>
              <c:strCache>
                <c:ptCount val="1"/>
                <c:pt idx="0">
                  <c:v>Dias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'DISTRIBUIÇÃO DE HORAS PARADAS'!$E$5:$E$8</c:f>
              <c:strCache>
                <c:ptCount val="4"/>
                <c:pt idx="0">
                  <c:v>Falta de Equipe/Administrativo</c:v>
                </c:pt>
                <c:pt idx="1">
                  <c:v>Manutenção de Equipamentos</c:v>
                </c:pt>
                <c:pt idx="2">
                  <c:v>Chuva</c:v>
                </c:pt>
                <c:pt idx="3">
                  <c:v>Materiais</c:v>
                </c:pt>
              </c:strCache>
            </c:strRef>
          </c:cat>
          <c:val>
            <c:numRef>
              <c:f>'DISTRIBUIÇÃO DE HORAS PARADAS'!$G$5:$G$8</c:f>
              <c:numCache>
                <c:formatCode>[h]:mm</c:formatCode>
                <c:ptCount val="4"/>
                <c:pt idx="0">
                  <c:v>0.75048611111111119</c:v>
                </c:pt>
                <c:pt idx="1">
                  <c:v>0.40201388888888889</c:v>
                </c:pt>
                <c:pt idx="2">
                  <c:v>3.2847222222222215E-2</c:v>
                </c:pt>
                <c:pt idx="3">
                  <c:v>8.819444444444445E-2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42A-49F7-9C05-862A93F63F0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[h]:mm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Distribuição Horas Maio </a:t>
            </a:r>
          </a:p>
        </c:rich>
      </c:tx>
      <c:layout>
        <c:manualLayout>
          <c:xMode val="edge"/>
          <c:yMode val="edge"/>
          <c:x val="0.2860618613149547"/>
          <c:y val="8.2987551867219917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351479874539494"/>
          <c:y val="0.1037344398340249"/>
          <c:w val="0.5929701644437303"/>
          <c:h val="0.8137961904139575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6644-4497-8975-BC10E0A4B84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6644-4497-8975-BC10E0A4B84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6644-4497-8975-BC10E0A4B84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6644-4497-8975-BC10E0A4B840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'Maio '!$A$43:$A$44</c:f>
              <c:strCache>
                <c:ptCount val="2"/>
                <c:pt idx="0">
                  <c:v>Total Horas Trabalhadas</c:v>
                </c:pt>
                <c:pt idx="1">
                  <c:v>Total Horas Paradas</c:v>
                </c:pt>
              </c:strCache>
            </c:strRef>
          </c:cat>
          <c:val>
            <c:numRef>
              <c:f>'Maio '!$D$43:$D$44</c:f>
              <c:numCache>
                <c:formatCode>[h]:mm</c:formatCode>
                <c:ptCount val="2"/>
                <c:pt idx="0">
                  <c:v>10.474305555555553</c:v>
                </c:pt>
                <c:pt idx="1">
                  <c:v>2.4979166666666668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644-4497-8975-BC10E0A4B84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Distribuição Horas Abril </a:t>
            </a:r>
          </a:p>
        </c:rich>
      </c:tx>
      <c:layout>
        <c:manualLayout>
          <c:xMode val="edge"/>
          <c:yMode val="edge"/>
          <c:x val="0.2860618613149547"/>
          <c:y val="8.2987551867219917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351479874539494"/>
          <c:y val="0.1037344398340249"/>
          <c:w val="0.5929701644437303"/>
          <c:h val="0.8137961904139575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CA97-443F-8F24-EAB1BB2030C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CA97-443F-8F24-EAB1BB2030C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CA97-443F-8F24-EAB1BB2030C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CA97-443F-8F24-EAB1BB2030C0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Abril!$A$40:$A$41</c:f>
              <c:strCache>
                <c:ptCount val="2"/>
                <c:pt idx="0">
                  <c:v>Total Horas Trabalhadas</c:v>
                </c:pt>
                <c:pt idx="1">
                  <c:v>Total Horas Paradas</c:v>
                </c:pt>
              </c:strCache>
            </c:strRef>
          </c:cat>
          <c:val>
            <c:numRef>
              <c:f>Abril!$D$40:$D$41</c:f>
              <c:numCache>
                <c:formatCode>[h]:mm</c:formatCode>
                <c:ptCount val="2"/>
                <c:pt idx="0">
                  <c:v>18.584027777777777</c:v>
                </c:pt>
                <c:pt idx="1">
                  <c:v>6.9888888888888898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A97-443F-8F24-EAB1BB2030C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Distribuição Horas Março </a:t>
            </a:r>
          </a:p>
        </c:rich>
      </c:tx>
      <c:layout>
        <c:manualLayout>
          <c:xMode val="edge"/>
          <c:yMode val="edge"/>
          <c:x val="0.2860618613149547"/>
          <c:y val="8.2987551867219917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351479874539494"/>
          <c:y val="0.1037344398340249"/>
          <c:w val="0.5929701644437303"/>
          <c:h val="0.8137961904139575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BBBD-4DAC-81B3-B57B1A9BEBB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BBBD-4DAC-81B3-B57B1A9BEBB0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Março!$A$41:$A$43</c15:sqref>
                  </c15:fullRef>
                </c:ext>
              </c:extLst>
              <c:f>Março!$A$42:$A$43</c:f>
              <c:strCache>
                <c:ptCount val="2"/>
                <c:pt idx="0">
                  <c:v>Total Horas Trabalhadas</c:v>
                </c:pt>
                <c:pt idx="1">
                  <c:v>Total Horas Paradas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Março!$D$41:$D$43</c15:sqref>
                  </c15:fullRef>
                </c:ext>
              </c:extLst>
              <c:f>Março!$D$42:$D$43</c:f>
              <c:numCache>
                <c:formatCode>[h]:mm</c:formatCode>
                <c:ptCount val="2"/>
                <c:pt idx="0">
                  <c:v>11.177083333333334</c:v>
                </c:pt>
                <c:pt idx="1">
                  <c:v>11.118055555555555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4-BBBD-4DAC-81B3-B57B1A9BEBB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Distribuição Horas Fevereiro </a:t>
            </a:r>
          </a:p>
        </c:rich>
      </c:tx>
      <c:layout>
        <c:manualLayout>
          <c:xMode val="edge"/>
          <c:yMode val="edge"/>
          <c:x val="0.20140577665887002"/>
          <c:y val="4.1493775933609959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351479874539494"/>
          <c:y val="0.1037344398340249"/>
          <c:w val="0.5929701644437303"/>
          <c:h val="0.8137961904139575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9C70-44EF-B1E3-5075911E342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9C70-44EF-B1E3-5075911E342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9C70-44EF-B1E3-5075911E342C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'Fevereiro '!$A$30:$A$31</c:f>
              <c:strCache>
                <c:ptCount val="2"/>
                <c:pt idx="0">
                  <c:v>Total Horas Trabalhadas</c:v>
                </c:pt>
                <c:pt idx="1">
                  <c:v>Total Horas Paradas</c:v>
                </c:pt>
              </c:strCache>
            </c:strRef>
          </c:cat>
          <c:val>
            <c:numRef>
              <c:f>'Fevereiro '!$D$30:$D$31</c:f>
              <c:numCache>
                <c:formatCode>[h]:mm</c:formatCode>
                <c:ptCount val="2"/>
                <c:pt idx="0">
                  <c:v>4.8451388888888891</c:v>
                </c:pt>
                <c:pt idx="1">
                  <c:v>1.8701388888888888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70-44EF-B1E3-5075911E342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Curva S - Período de Execução</a:t>
            </a:r>
          </a:p>
        </c:rich>
      </c:tx>
      <c:layout>
        <c:manualLayout>
          <c:xMode val="edge"/>
          <c:yMode val="edge"/>
          <c:x val="0.23074226190476191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289682539682538E-2"/>
          <c:y val="0.10142361111111112"/>
          <c:w val="0.94456349206349211"/>
          <c:h val="0.74832222222222222"/>
        </c:manualLayout>
      </c:layout>
      <c:lineChart>
        <c:grouping val="standard"/>
        <c:varyColors val="1"/>
        <c:ser>
          <c:idx val="0"/>
          <c:order val="0"/>
          <c:tx>
            <c:strRef>
              <c:f>'DASHBOARD GERAL DE EXECUÇÃO'!$B$5:$D$5</c:f>
              <c:strCache>
                <c:ptCount val="3"/>
                <c:pt idx="0">
                  <c:v>09/02/2026</c:v>
                </c:pt>
                <c:pt idx="1">
                  <c:v>13/03/2026</c:v>
                </c:pt>
                <c:pt idx="2">
                  <c:v>24/05/2026</c:v>
                </c:pt>
              </c:strCache>
            </c:strRef>
          </c:tx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2225" cap="rnd">
                <a:solidFill>
                  <a:schemeClr val="accent1"/>
                </a:solidFill>
              </a:ln>
              <a:effectLst>
                <a:glow rad="139700">
                  <a:schemeClr val="accent1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C11B-4B79-A038-71E4D07BA182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2225" cap="rnd">
                <a:solidFill>
                  <a:schemeClr val="accent2"/>
                </a:solidFill>
              </a:ln>
              <a:effectLst>
                <a:glow rad="139700">
                  <a:schemeClr val="accent2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3-C11B-4B79-A038-71E4D07BA182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2225" cap="rnd">
                <a:solidFill>
                  <a:schemeClr val="accent3"/>
                </a:solidFill>
              </a:ln>
              <a:effectLst>
                <a:glow rad="139700">
                  <a:schemeClr val="accent3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5-C11B-4B79-A038-71E4D07BA182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2225" cap="rnd">
                <a:solidFill>
                  <a:schemeClr val="accent4"/>
                </a:solidFill>
              </a:ln>
              <a:effectLst>
                <a:glow rad="139700">
                  <a:schemeClr val="accent4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7-C11B-4B79-A038-71E4D07BA182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2225" cap="rnd">
                <a:solidFill>
                  <a:schemeClr val="accent5"/>
                </a:solidFill>
              </a:ln>
              <a:effectLst>
                <a:glow rad="139700">
                  <a:schemeClr val="accent5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9-C11B-4B79-A038-71E4D07BA1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GERAL DE EXECUÇÃO'!$E$4:$G$4</c:f>
              <c:strCache>
                <c:ptCount val="3"/>
                <c:pt idx="0">
                  <c:v>Total Dias Realizados</c:v>
                </c:pt>
                <c:pt idx="1">
                  <c:v>Total Dias Previsto</c:v>
                </c:pt>
                <c:pt idx="2">
                  <c:v>Total Dias De Atraso</c:v>
                </c:pt>
              </c:strCache>
            </c:strRef>
          </c:cat>
          <c:val>
            <c:numRef>
              <c:f>'DASHBOARD GERAL DE EXECUÇÃO'!$E$5:$G$5</c:f>
              <c:numCache>
                <c:formatCode>General</c:formatCode>
                <c:ptCount val="3"/>
                <c:pt idx="0">
                  <c:v>104</c:v>
                </c:pt>
                <c:pt idx="1">
                  <c:v>32</c:v>
                </c:pt>
                <c:pt idx="2">
                  <c:v>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C11B-4B79-A038-71E4D07BA18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630535714285715"/>
          <c:y val="8.819444444444445E-2"/>
          <c:w val="0.87810357142857143"/>
          <c:h val="7.4414583333333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Comparativo de Horas Paradas</a:t>
            </a:r>
            <a:r>
              <a:rPr lang="en-US" baseline="0"/>
              <a:t> em </a:t>
            </a:r>
            <a:r>
              <a:rPr lang="en-US"/>
              <a:t>Dias    </a:t>
            </a:r>
          </a:p>
        </c:rich>
      </c:tx>
      <c:layout>
        <c:manualLayout>
          <c:xMode val="edge"/>
          <c:yMode val="edge"/>
          <c:x val="9.2253019832882505E-2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236811844972784E-2"/>
          <c:y val="0.11764705882352941"/>
          <c:w val="0.90272841764042355"/>
          <c:h val="0.71719149076953614"/>
        </c:manualLayout>
      </c:layout>
      <c:barChart>
        <c:barDir val="col"/>
        <c:grouping val="clustered"/>
        <c:varyColors val="1"/>
        <c:ser>
          <c:idx val="0"/>
          <c:order val="0"/>
          <c:spPr>
            <a:gradFill rotWithShape="1">
              <a:gsLst>
                <a:gs pos="0">
                  <a:schemeClr val="accent6">
                    <a:tint val="77000"/>
                    <a:shade val="51000"/>
                    <a:satMod val="130000"/>
                  </a:schemeClr>
                </a:gs>
                <a:gs pos="80000">
                  <a:schemeClr val="accent6">
                    <a:tint val="77000"/>
                    <a:shade val="93000"/>
                    <a:satMod val="130000"/>
                  </a:schemeClr>
                </a:gs>
                <a:gs pos="100000">
                  <a:schemeClr val="accent6">
                    <a:tint val="77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6">
                      <a:tint val="77000"/>
                      <a:shade val="51000"/>
                      <a:satMod val="130000"/>
                    </a:schemeClr>
                  </a:gs>
                  <a:gs pos="80000">
                    <a:schemeClr val="accent6">
                      <a:tint val="77000"/>
                      <a:shade val="93000"/>
                      <a:satMod val="130000"/>
                    </a:schemeClr>
                  </a:gs>
                  <a:gs pos="100000">
                    <a:schemeClr val="accent6">
                      <a:tint val="77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C5DF-4173-AF06-EA2BB0A9EAD8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6">
                      <a:tint val="77000"/>
                      <a:shade val="51000"/>
                      <a:satMod val="130000"/>
                    </a:schemeClr>
                  </a:gs>
                  <a:gs pos="80000">
                    <a:schemeClr val="accent6">
                      <a:tint val="77000"/>
                      <a:shade val="93000"/>
                      <a:satMod val="130000"/>
                    </a:schemeClr>
                  </a:gs>
                  <a:gs pos="100000">
                    <a:schemeClr val="accent6">
                      <a:tint val="77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C5DF-4173-AF06-EA2BB0A9EAD8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6">
                      <a:tint val="77000"/>
                      <a:shade val="51000"/>
                      <a:satMod val="130000"/>
                    </a:schemeClr>
                  </a:gs>
                  <a:gs pos="80000">
                    <a:schemeClr val="accent6">
                      <a:tint val="77000"/>
                      <a:shade val="93000"/>
                      <a:satMod val="130000"/>
                    </a:schemeClr>
                  </a:gs>
                  <a:gs pos="100000">
                    <a:schemeClr val="accent6">
                      <a:tint val="77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C5DF-4173-AF06-EA2BB0A9EAD8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6">
                      <a:tint val="77000"/>
                      <a:shade val="51000"/>
                      <a:satMod val="130000"/>
                    </a:schemeClr>
                  </a:gs>
                  <a:gs pos="80000">
                    <a:schemeClr val="accent6">
                      <a:tint val="77000"/>
                      <a:shade val="93000"/>
                      <a:satMod val="130000"/>
                    </a:schemeClr>
                  </a:gs>
                  <a:gs pos="100000">
                    <a:schemeClr val="accent6">
                      <a:tint val="77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C5DF-4173-AF06-EA2BB0A9EAD8}"/>
              </c:ext>
            </c:extLst>
          </c:dPt>
          <c:cat>
            <c:multiLvlStrRef>
              <c:f>'DASHBOARD GERAL DE EXECUÇÃO'!$G$9:$H$11</c:f>
              <c:multiLvlStrCache>
                <c:ptCount val="3"/>
                <c:lvl>
                  <c:pt idx="0">
                    <c:v>1621:20</c:v>
                  </c:pt>
                  <c:pt idx="1">
                    <c:v>1081:56</c:v>
                  </c:pt>
                  <c:pt idx="2">
                    <c:v>539:24</c:v>
                  </c:pt>
                </c:lvl>
                <c:lvl>
                  <c:pt idx="0">
                    <c:v>Horas Totais</c:v>
                  </c:pt>
                  <c:pt idx="1">
                    <c:v>Horas Trabalhadas</c:v>
                  </c:pt>
                  <c:pt idx="2">
                    <c:v>Horas Paradas</c:v>
                  </c:pt>
                </c:lvl>
              </c:multiLvlStrCache>
            </c:multiLvlStrRef>
          </c:cat>
          <c:val>
            <c:numRef>
              <c:f>'DASHBOARD GERAL DE EXECUÇÃO'!$I$9:$I$11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8-C5DF-4173-AF06-EA2BB0A9EAD8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6">
                    <a:shade val="76000"/>
                    <a:shade val="51000"/>
                    <a:satMod val="130000"/>
                  </a:schemeClr>
                </a:gs>
                <a:gs pos="80000">
                  <a:schemeClr val="accent6">
                    <a:shade val="76000"/>
                    <a:shade val="93000"/>
                    <a:satMod val="130000"/>
                  </a:schemeClr>
                </a:gs>
                <a:gs pos="100000">
                  <a:schemeClr val="accent6">
                    <a:shade val="7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'DASHBOARD GERAL DE EXECUÇÃO'!$G$9:$H$11</c:f>
              <c:multiLvlStrCache>
                <c:ptCount val="3"/>
                <c:lvl>
                  <c:pt idx="0">
                    <c:v>1621:20</c:v>
                  </c:pt>
                  <c:pt idx="1">
                    <c:v>1081:56</c:v>
                  </c:pt>
                  <c:pt idx="2">
                    <c:v>539:24</c:v>
                  </c:pt>
                </c:lvl>
                <c:lvl>
                  <c:pt idx="0">
                    <c:v>Horas Totais</c:v>
                  </c:pt>
                  <c:pt idx="1">
                    <c:v>Horas Trabalhadas</c:v>
                  </c:pt>
                  <c:pt idx="2">
                    <c:v>Horas Paradas</c:v>
                  </c:pt>
                </c:lvl>
              </c:multiLvlStrCache>
            </c:multiLvlStrRef>
          </c:cat>
          <c:val>
            <c:numRef>
              <c:f>'DASHBOARD GERAL DE EXECUÇÃO'!$J$9:$J$11</c:f>
              <c:numCache>
                <c:formatCode>0.00</c:formatCode>
                <c:ptCount val="3"/>
                <c:pt idx="0">
                  <c:v>67.555555555555571</c:v>
                </c:pt>
                <c:pt idx="1">
                  <c:v>45.080555555555556</c:v>
                </c:pt>
                <c:pt idx="2">
                  <c:v>22.475000000000001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5DF-4173-AF06-EA2BB0A9E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738273849287615"/>
          <c:y val="0.92909614239396543"/>
          <c:w val="0.21861421703371919"/>
          <c:h val="7.09038576060345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Porcentagem</a:t>
            </a:r>
            <a:r>
              <a:rPr lang="en-US" baseline="0"/>
              <a:t> de Atraso</a:t>
            </a: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28303842972009452"/>
          <c:y val="8.2987551867219917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351479874539494"/>
          <c:y val="0.1037344398340249"/>
          <c:w val="0.5929701644437303"/>
          <c:h val="0.8137961904139575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hade val="76000"/>
                      <a:shade val="51000"/>
                      <a:satMod val="130000"/>
                    </a:schemeClr>
                  </a:gs>
                  <a:gs pos="80000">
                    <a:schemeClr val="accent6">
                      <a:shade val="76000"/>
                      <a:shade val="93000"/>
                      <a:satMod val="130000"/>
                    </a:schemeClr>
                  </a:gs>
                  <a:gs pos="100000">
                    <a:schemeClr val="accent6">
                      <a:shade val="76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47E8-4903-95F2-F0DEEA3523C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6">
                      <a:tint val="77000"/>
                      <a:shade val="51000"/>
                      <a:satMod val="130000"/>
                    </a:schemeClr>
                  </a:gs>
                  <a:gs pos="80000">
                    <a:schemeClr val="accent6">
                      <a:tint val="77000"/>
                      <a:shade val="93000"/>
                      <a:satMod val="130000"/>
                    </a:schemeClr>
                  </a:gs>
                  <a:gs pos="100000">
                    <a:schemeClr val="accent6">
                      <a:tint val="77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47E8-4903-95F2-F0DEEA3523C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tint val="30000"/>
                      <a:shade val="51000"/>
                      <a:satMod val="130000"/>
                    </a:schemeClr>
                  </a:gs>
                  <a:gs pos="80000">
                    <a:schemeClr val="accent6">
                      <a:tint val="30000"/>
                      <a:shade val="93000"/>
                      <a:satMod val="130000"/>
                    </a:schemeClr>
                  </a:gs>
                  <a:gs pos="100000">
                    <a:schemeClr val="accent6">
                      <a:tint val="3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47E8-4903-95F2-F0DEEA3523CD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'DASHBOARD GERAL DE EXECUÇÃO'!$E$4:$G$4</c15:sqref>
                  </c15:fullRef>
                </c:ext>
              </c:extLst>
              <c:f>'DASHBOARD GERAL DE EXECUÇÃO'!$F$4:$G$4</c:f>
              <c:strCache>
                <c:ptCount val="2"/>
                <c:pt idx="0">
                  <c:v>Total Dias Previsto</c:v>
                </c:pt>
                <c:pt idx="1">
                  <c:v>Total Dias De Atraso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'DASHBOARD GERAL DE EXECUÇÃO'!$E$5:$G$5</c15:sqref>
                  </c15:fullRef>
                </c:ext>
              </c:extLst>
              <c:f>'DASHBOARD GERAL DE EXECUÇÃO'!$F$5:$G$5</c:f>
              <c:numCache>
                <c:formatCode>General</c:formatCode>
                <c:ptCount val="2"/>
                <c:pt idx="0">
                  <c:v>32</c:v>
                </c:pt>
                <c:pt idx="1">
                  <c:v>72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'DASHBOARD GERAL DE EXECUÇÃO'!$E$5</c15:sqref>
                  <c15:spPr xmlns:c15="http://schemas.microsoft.com/office/drawing/2012/chart">
                    <a:gradFill rotWithShape="1">
                      <a:gsLst>
                        <a:gs pos="0">
                          <a:schemeClr val="accent6">
                            <a:shade val="76000"/>
                            <a:shade val="51000"/>
                            <a:satMod val="130000"/>
                          </a:schemeClr>
                        </a:gs>
                        <a:gs pos="80000">
                          <a:schemeClr val="accent6">
                            <a:shade val="76000"/>
                            <a:shade val="93000"/>
                            <a:satMod val="130000"/>
                          </a:schemeClr>
                        </a:gs>
                        <a:gs pos="100000">
                          <a:schemeClr val="accent6">
                            <a:shade val="76000"/>
                            <a:shade val="94000"/>
                            <a:satMod val="135000"/>
                          </a:schemeClr>
                        </a:gs>
                      </a:gsLst>
                      <a:lin ang="16200000" scaled="0"/>
                    </a:gradFill>
                    <a:ln>
                      <a:noFill/>
                    </a:ln>
                    <a:effectLst>
                      <a:outerShdw blurRad="40000" dist="23000" dir="5400000" rotWithShape="0">
                        <a:srgbClr val="000000">
                          <a:alpha val="35000"/>
                        </a:srgbClr>
                      </a:outerShdw>
                    </a:effectLst>
                    <a:scene3d>
                      <a:camera prst="orthographicFront">
                        <a:rot lat="0" lon="0" rev="0"/>
                      </a:camera>
                      <a:lightRig rig="threePt" dir="t">
                        <a:rot lat="0" lon="0" rev="1200000"/>
                      </a:lightRig>
                    </a:scene3d>
                    <a:sp3d>
                      <a:bevelT w="63500" h="25400"/>
                    </a:sp3d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8-47E8-4903-95F2-F0DEEA3523C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Distribuição de</a:t>
            </a:r>
            <a:r>
              <a:rPr lang="en-US" baseline="0"/>
              <a:t> Porcentagens de Horas</a:t>
            </a: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1450944871575722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86859494940129"/>
          <c:y val="8.461522149268344E-2"/>
          <c:w val="0.63171885531561378"/>
          <c:h val="0.9153846410101026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hade val="65000"/>
                      <a:shade val="51000"/>
                      <a:satMod val="130000"/>
                    </a:schemeClr>
                  </a:gs>
                  <a:gs pos="80000">
                    <a:schemeClr val="accent6">
                      <a:shade val="65000"/>
                      <a:shade val="93000"/>
                      <a:satMod val="130000"/>
                    </a:schemeClr>
                  </a:gs>
                  <a:gs pos="100000">
                    <a:schemeClr val="accent6">
                      <a:shade val="65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E0F8-4522-BDEC-D628B0CD134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E0F8-4522-BDEC-D628B0CD134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tint val="65000"/>
                      <a:shade val="51000"/>
                      <a:satMod val="130000"/>
                    </a:schemeClr>
                  </a:gs>
                  <a:gs pos="80000">
                    <a:schemeClr val="accent6">
                      <a:tint val="65000"/>
                      <a:shade val="93000"/>
                      <a:satMod val="130000"/>
                    </a:schemeClr>
                  </a:gs>
                  <a:gs pos="100000">
                    <a:schemeClr val="accent6">
                      <a:tint val="65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E0F8-4522-BDEC-D628B0CD134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tint val="30000"/>
                      <a:shade val="51000"/>
                      <a:satMod val="130000"/>
                    </a:schemeClr>
                  </a:gs>
                  <a:gs pos="80000">
                    <a:schemeClr val="accent6">
                      <a:tint val="30000"/>
                      <a:shade val="93000"/>
                      <a:satMod val="130000"/>
                    </a:schemeClr>
                  </a:gs>
                  <a:gs pos="100000">
                    <a:schemeClr val="accent6">
                      <a:tint val="3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E0F8-4522-BDEC-D628B0CD1349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GERAL DE EXECUÇÃO'!$G$18:$G$20</c:f>
              <c:strCache>
                <c:ptCount val="3"/>
                <c:pt idx="0">
                  <c:v>Horas Paradas DH-GEL ENGENHARIA</c:v>
                </c:pt>
                <c:pt idx="1">
                  <c:v>Administrativo/ Falta de Equipe</c:v>
                </c:pt>
                <c:pt idx="2">
                  <c:v>Mecânica / Eletricista</c:v>
                </c:pt>
              </c:strCache>
            </c:strRef>
          </c:cat>
          <c:val>
            <c:numRef>
              <c:f>'DASHBOARD GERAL DE EXECUÇÃO'!$H$18:$H$20</c:f>
              <c:numCache>
                <c:formatCode>[h]:mm</c:formatCode>
                <c:ptCount val="3"/>
                <c:pt idx="1">
                  <c:v>8.3868055555555561</c:v>
                </c:pt>
                <c:pt idx="2">
                  <c:v>4.0201388888888889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0F8-4522-BDEC-D628B0CD134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92549619318412923"/>
          <c:w val="0.42936165372447332"/>
          <c:h val="7.45038068158708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419100</xdr:colOff>
      <xdr:row>19</xdr:row>
      <xdr:rowOff>47625</xdr:rowOff>
    </xdr:from>
    <xdr:ext cx="5054600" cy="30734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FD11E86D-FA11-400A-BD6C-946677A61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438150</xdr:colOff>
      <xdr:row>2</xdr:row>
      <xdr:rowOff>25400</xdr:rowOff>
    </xdr:from>
    <xdr:ext cx="4959350" cy="3079750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69451BD3-7803-46B3-81BE-738D22DACA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514350</xdr:colOff>
      <xdr:row>4</xdr:row>
      <xdr:rowOff>88900</xdr:rowOff>
    </xdr:from>
    <xdr:ext cx="6490367" cy="3073400"/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32EA1E1D-E744-4173-8223-F182896B24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1060450</xdr:colOff>
      <xdr:row>4</xdr:row>
      <xdr:rowOff>88900</xdr:rowOff>
    </xdr:from>
    <xdr:ext cx="6490367" cy="3073400"/>
    <xdr:graphicFrame macro="">
      <xdr:nvGraphicFramePr>
        <xdr:cNvPr id="9" name="Chart 3">
          <a:extLst>
            <a:ext uri="{FF2B5EF4-FFF2-40B4-BE49-F238E27FC236}">
              <a16:creationId xmlns:a16="http://schemas.microsoft.com/office/drawing/2014/main" id="{278BF2CA-CB05-4F48-9A9D-E93FD1D3C7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</xdr:col>
      <xdr:colOff>1022350</xdr:colOff>
      <xdr:row>22</xdr:row>
      <xdr:rowOff>114300</xdr:rowOff>
    </xdr:from>
    <xdr:ext cx="6490367" cy="3073400"/>
    <xdr:graphicFrame macro="">
      <xdr:nvGraphicFramePr>
        <xdr:cNvPr id="10" name="Chart 3">
          <a:extLst>
            <a:ext uri="{FF2B5EF4-FFF2-40B4-BE49-F238E27FC236}">
              <a16:creationId xmlns:a16="http://schemas.microsoft.com/office/drawing/2014/main" id="{7E2063E8-53E2-474F-B7E4-2402B5A831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952500</xdr:colOff>
      <xdr:row>3</xdr:row>
      <xdr:rowOff>3174</xdr:rowOff>
    </xdr:from>
    <xdr:ext cx="4784725" cy="330200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C877E8-5F45-4E87-85EC-AC35321CC1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736600</xdr:colOff>
      <xdr:row>21</xdr:row>
      <xdr:rowOff>168275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6CA470-73ED-44BA-A932-4E8BEC39FA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10</xdr:col>
      <xdr:colOff>285750</xdr:colOff>
      <xdr:row>21</xdr:row>
      <xdr:rowOff>174625</xdr:rowOff>
    </xdr:from>
    <xdr:ext cx="432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8DC9D6-20E0-4DD2-A5EB-E7DF48A669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10</xdr:col>
      <xdr:colOff>323850</xdr:colOff>
      <xdr:row>3</xdr:row>
      <xdr:rowOff>130175</xdr:rowOff>
    </xdr:from>
    <xdr:ext cx="4200525" cy="3060700"/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6D1EFDE8-7121-4C0E-92C0-73CF185407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</xdr:col>
      <xdr:colOff>203201</xdr:colOff>
      <xdr:row>21</xdr:row>
      <xdr:rowOff>152400</xdr:rowOff>
    </xdr:from>
    <xdr:ext cx="4756149" cy="2876551"/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DA0CAD1E-8BB8-4754-B802-B79CB4C59B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1370262</xdr:colOff>
      <xdr:row>8</xdr:row>
      <xdr:rowOff>133684</xdr:rowOff>
    </xdr:from>
    <xdr:ext cx="4673600" cy="3073400"/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8D4259B0-B8CE-4D6C-862F-FF64F0F35B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1524000</xdr:colOff>
      <xdr:row>8</xdr:row>
      <xdr:rowOff>106948</xdr:rowOff>
    </xdr:from>
    <xdr:ext cx="6490367" cy="3073400"/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E2A90AA6-03BC-450E-86BB-D558BA932A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1466850</xdr:colOff>
      <xdr:row>25</xdr:row>
      <xdr:rowOff>76200</xdr:rowOff>
    </xdr:from>
    <xdr:ext cx="4200525" cy="3060700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5FA9E551-13E4-4CA7-99FE-C957E22AB6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171450</xdr:colOff>
      <xdr:row>25</xdr:row>
      <xdr:rowOff>95250</xdr:rowOff>
    </xdr:from>
    <xdr:ext cx="4200525" cy="3060700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44A26837-B748-4604-B0D6-268D5E4CC8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</xdr:col>
      <xdr:colOff>1473200</xdr:colOff>
      <xdr:row>8</xdr:row>
      <xdr:rowOff>82550</xdr:rowOff>
    </xdr:from>
    <xdr:ext cx="4200525" cy="3060700"/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DDE7229B-8298-4A50-93BA-EDFB95F88E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203200</xdr:colOff>
      <xdr:row>8</xdr:row>
      <xdr:rowOff>101600</xdr:rowOff>
    </xdr:from>
    <xdr:ext cx="4200525" cy="3060700"/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D41A0EE9-8409-4C87-900B-0CF101B440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1451644</xdr:colOff>
      <xdr:row>7</xdr:row>
      <xdr:rowOff>125495</xdr:rowOff>
    </xdr:from>
    <xdr:ext cx="5040000" cy="2880000"/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9F0323E2-1B9A-43FC-87ED-B432DDEA53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581358</xdr:colOff>
      <xdr:row>25</xdr:row>
      <xdr:rowOff>161256</xdr:rowOff>
    </xdr:from>
    <xdr:ext cx="4565650" cy="3022600"/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38B141F6-E4A9-4057-95A7-C71BEFA232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721727</xdr:colOff>
      <xdr:row>7</xdr:row>
      <xdr:rowOff>113464</xdr:rowOff>
    </xdr:from>
    <xdr:ext cx="4200525" cy="30607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DBAC24-7556-40EF-9238-3F9CD1ACE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1477544</xdr:colOff>
      <xdr:row>25</xdr:row>
      <xdr:rowOff>167273</xdr:rowOff>
    </xdr:from>
    <xdr:ext cx="4936623" cy="3004218"/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44BC27E3-EA3B-428C-8EEA-3FAB7AACA5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0.65324</cdr:x>
      <cdr:y>0.85647</cdr:y>
    </cdr:from>
    <cdr:to>
      <cdr:x>0.99797</cdr:x>
      <cdr:y>1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0D142FD2-E096-D2E5-11E3-864694BD7480}"/>
            </a:ext>
          </a:extLst>
        </cdr:cNvPr>
        <cdr:cNvSpPr txBox="1"/>
      </cdr:nvSpPr>
      <cdr:spPr>
        <a:xfrm xmlns:a="http://schemas.openxmlformats.org/drawingml/2006/main">
          <a:off x="3224798" y="2573027"/>
          <a:ext cx="1701799" cy="4311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>
              <a:solidFill>
                <a:schemeClr val="bg1"/>
              </a:solidFill>
            </a:rPr>
            <a:t>Administrativo / falta de Equipe</a:t>
          </a:r>
        </a:p>
      </cdr:txBody>
    </cdr:sp>
  </cdr:relSizeAnchor>
  <cdr:relSizeAnchor xmlns:cdr="http://schemas.openxmlformats.org/drawingml/2006/chartDrawing">
    <cdr:from>
      <cdr:x>0.10893</cdr:x>
      <cdr:y>0.1212</cdr:y>
    </cdr:from>
    <cdr:to>
      <cdr:x>0.29416</cdr:x>
      <cdr:y>0.42558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D335B090-F217-48AD-F823-0575AF1CAF3B}"/>
            </a:ext>
          </a:extLst>
        </cdr:cNvPr>
        <cdr:cNvSpPr txBox="1"/>
      </cdr:nvSpPr>
      <cdr:spPr>
        <a:xfrm xmlns:a="http://schemas.openxmlformats.org/drawingml/2006/main">
          <a:off x="537746" y="36412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0.01957</cdr:x>
      <cdr:y>0.12788</cdr:y>
    </cdr:from>
    <cdr:to>
      <cdr:x>0.44202</cdr:x>
      <cdr:y>0.19463</cdr:y>
    </cdr:to>
    <cdr:sp macro="" textlink="">
      <cdr:nvSpPr>
        <cdr:cNvPr id="4" name="CaixaDeTexto 3">
          <a:extLst xmlns:a="http://schemas.openxmlformats.org/drawingml/2006/main">
            <a:ext uri="{FF2B5EF4-FFF2-40B4-BE49-F238E27FC236}">
              <a16:creationId xmlns:a16="http://schemas.microsoft.com/office/drawing/2014/main" id="{34C997F4-BC81-61ED-A730-B5298CA57528}"/>
            </a:ext>
          </a:extLst>
        </cdr:cNvPr>
        <cdr:cNvSpPr txBox="1"/>
      </cdr:nvSpPr>
      <cdr:spPr>
        <a:xfrm xmlns:a="http://schemas.openxmlformats.org/drawingml/2006/main">
          <a:off x="96588" y="384174"/>
          <a:ext cx="2085474" cy="2005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800" kern="1200">
              <a:solidFill>
                <a:schemeClr val="bg1"/>
              </a:solidFill>
            </a:rPr>
            <a:t>Mecânica</a:t>
          </a:r>
          <a:r>
            <a:rPr lang="en-US" sz="800" kern="1200" baseline="0">
              <a:solidFill>
                <a:schemeClr val="bg1"/>
              </a:solidFill>
            </a:rPr>
            <a:t>/Manutenção e Elétrica</a:t>
          </a:r>
          <a:endParaRPr lang="en-US" sz="800" kern="1200">
            <a:solidFill>
              <a:schemeClr val="bg1"/>
            </a:solidFill>
          </a:endParaRPr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_Março" displayName="Tabela_Março" ref="A3:Q25">
  <autoFilter ref="A3:Q25" xr:uid="{00000000-0009-0000-0100-000003000000}"/>
  <tableColumns count="17">
    <tableColumn id="1" xr3:uid="{00000000-0010-0000-0200-000001000000}" name="Data"/>
    <tableColumn id="2" xr3:uid="{00000000-0010-0000-0200-000002000000}" name="Projeto"/>
    <tableColumn id="3" xr3:uid="{00000000-0010-0000-0200-000003000000}" name="Equipe"/>
    <tableColumn id="4" xr3:uid="{00000000-0010-0000-0200-000004000000}" name="Equipamento"/>
    <tableColumn id="5" xr3:uid="{00000000-0010-0000-0200-000005000000}" name="Horas Totais"/>
    <tableColumn id="6" xr3:uid="{00000000-0010-0000-0200-000006000000}" name="Horas Trabalhadas"/>
    <tableColumn id="7" xr3:uid="{00000000-0010-0000-0200-000007000000}" name="Horas Paradas" dataDxfId="58"/>
    <tableColumn id="8" xr3:uid="{00000000-0010-0000-0200-000008000000}" name="Parada DH_GEL"/>
    <tableColumn id="9" xr3:uid="{00000000-0010-0000-0200-000009000000}" name="Parada Parc das artes"/>
    <tableColumn id="10" xr3:uid="{00000000-0010-0000-0200-00000A000000}" name="Parada Chuva"/>
    <tableColumn id="11" xr3:uid="{00000000-0010-0000-0200-00000B000000}" name="Parada Mecânica"/>
    <tableColumn id="12" xr3:uid="{00000000-0010-0000-0200-00000C000000}" name="Outros Motivos" dataDxfId="57"/>
    <tableColumn id="13" xr3:uid="{00000000-0010-0000-0200-00000D000000}" name="Motivo / Justificativa"/>
    <tableColumn id="14" xr3:uid="{00000000-0010-0000-0200-00000E000000}" name="Responsável"/>
    <tableColumn id="15" xr3:uid="{00000000-0010-0000-0200-00000F000000}" name="Nº RDO"/>
    <tableColumn id="16" xr3:uid="{00000000-0010-0000-0200-000010000000}" name="Centro de Custo"/>
    <tableColumn id="17" xr3:uid="{00000000-0010-0000-0200-000011000000}" name="Observaçõ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_Fevereiro" displayName="Tabela_Fevereiro" ref="A3:Q37">
  <autoFilter ref="A3:Q37" xr:uid="{00000000-0009-0000-0100-000002000000}"/>
  <tableColumns count="17">
    <tableColumn id="1" xr3:uid="{00000000-0010-0000-0100-000001000000}" name="Data"/>
    <tableColumn id="2" xr3:uid="{00000000-0010-0000-0100-000002000000}" name="Projeto"/>
    <tableColumn id="3" xr3:uid="{00000000-0010-0000-0100-000003000000}" name="Equipe"/>
    <tableColumn id="4" xr3:uid="{00000000-0010-0000-0100-000004000000}" name="Equipamento"/>
    <tableColumn id="5" xr3:uid="{00000000-0010-0000-0100-000005000000}" name="Horas Totais" dataDxfId="56"/>
    <tableColumn id="6" xr3:uid="{00000000-0010-0000-0100-000006000000}" name="Horas Trabalhadas" dataDxfId="55"/>
    <tableColumn id="7" xr3:uid="{00000000-0010-0000-0100-000007000000}" name="Horas Paradas" dataDxfId="54"/>
    <tableColumn id="8" xr3:uid="{00000000-0010-0000-0100-000008000000}" name="Parada DH_GEL" dataDxfId="53"/>
    <tableColumn id="9" xr3:uid="{00000000-0010-0000-0100-000009000000}" name="Parada Parc das artes" dataDxfId="52"/>
    <tableColumn id="10" xr3:uid="{00000000-0010-0000-0100-00000A000000}" name="Parada Chuva" dataDxfId="51"/>
    <tableColumn id="11" xr3:uid="{00000000-0010-0000-0100-00000B000000}" name="Parada Mecânica" dataDxfId="50"/>
    <tableColumn id="12" xr3:uid="{00000000-0010-0000-0100-00000C000000}" name="Outros Motivos" dataDxfId="49"/>
    <tableColumn id="13" xr3:uid="{00000000-0010-0000-0100-00000D000000}" name="Motivo / Justificativa"/>
    <tableColumn id="14" xr3:uid="{00000000-0010-0000-0100-00000E000000}" name="Responsável"/>
    <tableColumn id="15" xr3:uid="{00000000-0010-0000-0100-00000F000000}" name="Nº RDO"/>
    <tableColumn id="16" xr3:uid="{00000000-0010-0000-0100-000010000000}" name="Centro de Custo"/>
    <tableColumn id="17" xr3:uid="{00000000-0010-0000-0100-000011000000}" name="Observaçõ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_Abril" displayName="Tabela_Abril" ref="A3:Q35">
  <autoFilter ref="A3:Q35" xr:uid="{00000000-0009-0000-0100-000004000000}"/>
  <tableColumns count="17">
    <tableColumn id="1" xr3:uid="{00000000-0010-0000-0300-000001000000}" name="Data"/>
    <tableColumn id="2" xr3:uid="{00000000-0010-0000-0300-000002000000}" name="Projeto"/>
    <tableColumn id="3" xr3:uid="{00000000-0010-0000-0300-000003000000}" name="Equipe"/>
    <tableColumn id="4" xr3:uid="{00000000-0010-0000-0300-000004000000}" name="Equipamento"/>
    <tableColumn id="5" xr3:uid="{00000000-0010-0000-0300-000005000000}" name="Horas Totais" dataDxfId="48"/>
    <tableColumn id="6" xr3:uid="{00000000-0010-0000-0300-000006000000}" name="Horas Trabalhadas" dataDxfId="47"/>
    <tableColumn id="7" xr3:uid="{00000000-0010-0000-0300-000007000000}" name="Horas Paradas" dataDxfId="46"/>
    <tableColumn id="8" xr3:uid="{00000000-0010-0000-0300-000008000000}" name="Parada DH-GEL" dataDxfId="45"/>
    <tableColumn id="9" xr3:uid="{00000000-0010-0000-0300-000009000000}" name="Parada Parc das artes" dataDxfId="44"/>
    <tableColumn id="10" xr3:uid="{00000000-0010-0000-0300-00000A000000}" name="Parada Chuva"/>
    <tableColumn id="11" xr3:uid="{00000000-0010-0000-0300-00000B000000}" name="Parada Mecânica" dataDxfId="43"/>
    <tableColumn id="12" xr3:uid="{00000000-0010-0000-0300-00000C000000}" name="Outros Motivos" dataDxfId="42"/>
    <tableColumn id="13" xr3:uid="{00000000-0010-0000-0300-00000D000000}" name="Motivo / Justificativa"/>
    <tableColumn id="14" xr3:uid="{00000000-0010-0000-0300-00000E000000}" name="Responsável"/>
    <tableColumn id="15" xr3:uid="{00000000-0010-0000-0300-00000F000000}" name="Nº RDO"/>
    <tableColumn id="16" xr3:uid="{00000000-0010-0000-0300-000010000000}" name="Centro de Custo"/>
    <tableColumn id="17" xr3:uid="{00000000-0010-0000-0300-000011000000}" name="Observaçõ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0A0EAA-86D6-4D5B-84DB-7961E9DA5A44}" name="Tabela_Abril2" displayName="Tabela_Abril2" ref="A3:Q37">
  <autoFilter ref="A3:Q37" xr:uid="{00000000-0009-0000-0100-000004000000}"/>
  <tableColumns count="17">
    <tableColumn id="1" xr3:uid="{2CABBD4C-3603-493C-9970-21F3FDFD2363}" name="Data"/>
    <tableColumn id="2" xr3:uid="{828995E2-05F6-46EE-9C49-9B2D106C88AD}" name="Projeto"/>
    <tableColumn id="3" xr3:uid="{62E022A6-069B-4FD9-8C20-A4B9CA37FAAF}" name="Equipe"/>
    <tableColumn id="4" xr3:uid="{0C02D032-8881-45F0-AFA6-20E428D374B3}" name="Equipamento"/>
    <tableColumn id="5" xr3:uid="{53AD77DB-D035-4B06-B0B8-CB75350846F6}" name="Horas Totais" dataDxfId="41"/>
    <tableColumn id="6" xr3:uid="{CE057A87-DA59-4896-862E-5C6DF65957EA}" name="Horas Trabalhadas" dataDxfId="40"/>
    <tableColumn id="7" xr3:uid="{8CC9A1E4-0462-44DD-9275-B2877B4FA29F}" name="Horas Paradas" dataDxfId="39"/>
    <tableColumn id="8" xr3:uid="{1EFB82C7-14B3-44B8-AA78-279235F8D8B9}" name="Parada DH_GEL" dataDxfId="38"/>
    <tableColumn id="9" xr3:uid="{8E74259A-BFA7-4E7E-8BAC-5EA88CCE98E6}" name="Parada Parc das artes" dataDxfId="37"/>
    <tableColumn id="10" xr3:uid="{AA212337-6DBE-47CD-9233-028EE46F8DBA}" name="Parada Chuva"/>
    <tableColumn id="11" xr3:uid="{4FFB05AF-B5B7-4288-8DA9-F3A9D64D1CE9}" name="Parada Mecânica" dataDxfId="36"/>
    <tableColumn id="12" xr3:uid="{1BB223DF-349A-426E-8340-177AD03853F1}" name="Outros Motivos" dataDxfId="35"/>
    <tableColumn id="13" xr3:uid="{B8283D81-66D3-4B39-9307-FFA187F47E4E}" name="Motivo / Justificativa"/>
    <tableColumn id="14" xr3:uid="{B645CA07-8368-454C-8FFA-C3466B1C68F6}" name="Responsável"/>
    <tableColumn id="15" xr3:uid="{2FA42A4D-12B3-4E0D-A93A-0BDC0593F4F3}" name="Nº RDO"/>
    <tableColumn id="16" xr3:uid="{B526EEE8-D5F2-4384-AB1B-71FBB1708E44}" name="Centro de Custo"/>
    <tableColumn id="17" xr3:uid="{BDB22C26-7B89-4F3E-B5A9-C3BACF5EE9A2}" name="Observaçõ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2879273-AD96-4B63-B1F5-8AFD587A13AA}" name="Tabela_Abril10" displayName="Tabela_Abril10" ref="A3:J35">
  <autoFilter ref="A3:J35" xr:uid="{00000000-0009-0000-0100-000004000000}"/>
  <tableColumns count="10">
    <tableColumn id="1" xr3:uid="{3A53652A-5D28-4871-B092-855AD669ED7F}" name="Data"/>
    <tableColumn id="2" xr3:uid="{DD0C6761-8EA4-44CD-9817-3FC0A6936354}" name="Projeto"/>
    <tableColumn id="3" xr3:uid="{6BAB74CA-38FA-4D61-A2BA-D4C5437DF903}" name="Equipe"/>
    <tableColumn id="4" xr3:uid="{88EC7F1A-8D6C-45C4-9877-4A7A9D3666BC}" name="Equipamento"/>
    <tableColumn id="5" xr3:uid="{C5A8A61D-BF38-47A9-B7B6-7A3031CABFF5}" name="Horário de:" dataDxfId="34"/>
    <tableColumn id="6" xr3:uid="{5894E57F-A555-4C82-8C4E-D6C5863AF0A3}" name="Horário até:" dataDxfId="33"/>
    <tableColumn id="7" xr3:uid="{3E4E13FD-51EF-487E-BEE9-DDDC5A782C21}" name="Horas Paradas" dataDxfId="32"/>
    <tableColumn id="13" xr3:uid="{29B9FD34-DA95-4A59-B0FE-4FF539D6494C}" name="Motivo / Justificativa"/>
    <tableColumn id="14" xr3:uid="{0A3FE924-2ADA-4547-94D0-D6E6FCD6EAE6}" name="Responsável"/>
    <tableColumn id="17" xr3:uid="{64D8A248-A70B-42D9-9AEC-9E77C40535D8}" name="Horimetro Compressor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18F9EB6-826E-4517-BC98-9F8C9B06F40E}" name="Tabela_Fevereiro88" displayName="Tabela_Fevereiro88" ref="A3:P69">
  <autoFilter ref="A3:P69" xr:uid="{00000000-0009-0000-0100-000002000000}"/>
  <tableColumns count="16">
    <tableColumn id="1" xr3:uid="{32916AEE-483F-49E3-9D5B-DB736FC1C4A0}" name="Data"/>
    <tableColumn id="2" xr3:uid="{85D497BA-DC80-4DA8-9D33-E61CD3EACFC0}" name="Ferramenta"/>
    <tableColumn id="3" xr3:uid="{1458001D-FF88-4626-A5BC-C5ADAAA3E2BD}" name="De:" dataDxfId="31"/>
    <tableColumn id="4" xr3:uid="{764BC857-87C1-4459-9464-D068C1A29A8C}" name="Até:" dataDxfId="30"/>
    <tableColumn id="5" xr3:uid="{4E87BE7C-B40B-414F-A5E8-4FC97A4FBAE3}" name="Quantidade Metros" dataDxfId="29">
      <calculatedColumnFormula>Tabela_Fevereiro88[[#This Row],[Até:]]-Tabela_Fevereiro88[[#This Row],[De:]]</calculatedColumnFormula>
    </tableColumn>
    <tableColumn id="15" xr3:uid="{DDB07F0D-651F-4176-9B22-E21527169666}" name="Tipo" dataDxfId="28"/>
    <tableColumn id="14" xr3:uid="{08F9B0DD-89DB-41ED-BD42-ED65D0D45E53}" name="De" dataDxfId="27"/>
    <tableColumn id="11" xr3:uid="{CB57AE04-EE41-4E42-A349-D5545926A262}" name="Até" dataDxfId="26"/>
    <tableColumn id="10" xr3:uid="{6F988DB2-595F-476E-81CE-F2903F004C94}" name="Quantidade M Reaberto" dataDxfId="25">
      <calculatedColumnFormula>Tabela_Fevereiro88[[#This Row],[Até]]-Tabela_Fevereiro88[[#This Row],[De]]</calculatedColumnFormula>
    </tableColumn>
    <tableColumn id="6" xr3:uid="{4A045CB3-B5CF-48E9-91CB-18B9F9A67DA1}" name="Horário Inicio" dataDxfId="24"/>
    <tableColumn id="9" xr3:uid="{E0ADCC02-B5AC-4CD5-B6FD-F53B1CBF3396}" name="Horário Término" dataDxfId="23">
      <calculatedColumnFormula>Tabela_Fevereiro88[[#This Row],[Horário Inicio]]/Tabela_Fevereiro88[[#This Row],[Quantidade Metros]]</calculatedColumnFormula>
    </tableColumn>
    <tableColumn id="7" xr3:uid="{031B2B66-0EE2-4B7B-A188-CD021C4B19EB}" name="Tempo Perfuração" dataDxfId="22">
      <calculatedColumnFormula>Tabela_Fevereiro88[[#This Row],[Horário Término]]-Tabela_Fevereiro88[[#This Row],[Horário Inicio]]</calculatedColumnFormula>
    </tableColumn>
    <tableColumn id="18" xr3:uid="{B7308335-E23B-4891-BC6D-0CBE1C918713}" name="Tempo Reabertura" dataDxfId="21"/>
    <tableColumn id="12" xr3:uid="{005A2BC4-450F-42BE-B609-9F043744E578}" name="Diesel S10" dataDxfId="20"/>
    <tableColumn id="13" xr3:uid="{D7857B92-62C1-4E10-B9E6-67A2ACF7AB9A}" name="Diesel S500"/>
    <tableColumn id="17" xr3:uid="{96C4DB74-3FF5-4281-A216-1B327840726F}" name="Observação Reabertur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854DBBB-0077-468A-A505-E42938650309}" name="Tabela_Fevereiro8" displayName="Tabela_Fevereiro8" ref="A3:G41">
  <autoFilter ref="A3:G41" xr:uid="{00000000-0009-0000-0100-000002000000}"/>
  <tableColumns count="7">
    <tableColumn id="1" xr3:uid="{92E85BA2-C16B-4DFE-8BF2-462E79708140}" name="Data"/>
    <tableColumn id="3" xr3:uid="{D5456E7C-11C1-4CDE-AE05-1771B0D0B34F}" name="CMC"/>
    <tableColumn id="8" xr3:uid="{276EB544-DA42-43D9-8806-93EA91B7B5FE}" name="Goma Xantana" dataDxfId="9"/>
    <tableColumn id="10" xr3:uid="{8595B310-3277-4E02-A750-D063BDCBB0A5}" name="Barilha" dataDxfId="8"/>
    <tableColumn id="11" xr3:uid="{276E6F16-2C95-4CDD-A263-5212AFE240B4}" name="Hexa T" dataDxfId="7"/>
    <tableColumn id="4" xr3:uid="{F1B305BF-0F0F-41E7-A060-FD1C5C4CA71D}" name="Bentonita"/>
    <tableColumn id="13" xr3:uid="{AE7745F5-EF2B-4D2E-A992-59D780A34904}" name="Motivo / Justificativ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854CF7C-59DB-4E1A-9F4F-A36B8B20DC2D}" name="Tabela_Fevereiro7" displayName="Tabela_Fevereiro7" ref="A3:Q35">
  <autoFilter ref="A3:Q35" xr:uid="{00000000-0009-0000-0100-000002000000}"/>
  <tableColumns count="17">
    <tableColumn id="1" xr3:uid="{AF7A943F-F996-43B9-A6F2-03A62315CF21}" name="Data"/>
    <tableColumn id="2" xr3:uid="{6C7DE26E-D19C-4409-B88D-B7BB63658901}" name="Projeto"/>
    <tableColumn id="3" xr3:uid="{71188068-2AAB-44A6-876D-2C718C4E7168}" name="Fornecedor"/>
    <tableColumn id="4" xr3:uid="{EE9EA0F0-0655-4B54-9695-DF4EF8D5D046}" name="Equipamento"/>
    <tableColumn id="5" xr3:uid="{5390BB78-F77C-4F2E-BBDF-9D0BEA46E3AF}" name="Previsto" dataDxfId="19"/>
    <tableColumn id="6" xr3:uid="{88E60743-0FCA-4C87-A441-4F1709843EFB}" name="Realizado" dataDxfId="18"/>
    <tableColumn id="7" xr3:uid="{80F482F4-FEF1-4B99-8790-A2F545469F75}" name="Dias imprevisto" dataDxfId="17"/>
    <tableColumn id="15" xr3:uid="{D873EFCA-05B4-4069-8D43-BAB54F99E009}" name="Porcentagem %" dataDxfId="16">
      <calculatedColumnFormula>Tabela_Fevereiro7[[#This Row],[Realizado]]/Tabela_Fevereiro7[[#This Row],[Previsto]]</calculatedColumnFormula>
    </tableColumn>
    <tableColumn id="11" xr3:uid="{0C290B92-08F5-4F5F-8A7A-8A35BC12C15D}" name="Status" dataDxfId="15">
      <calculatedColumnFormula>IF(F4&gt;E4,"ESTOURADO",IF(F2&gt;=0.7,"ALERTA","OK"))</calculatedColumnFormula>
    </tableColumn>
    <tableColumn id="8" xr3:uid="{44025EF6-D1E6-4829-A0F3-22FD0831FA59}" name="Parada DH_GEL" dataDxfId="14"/>
    <tableColumn id="9" xr3:uid="{0FDF838C-3643-4F2E-AA83-060EE9312771}" name="Parada Citrosuco" dataDxfId="13"/>
    <tableColumn id="10" xr3:uid="{BBD9EC7D-CC7A-4B16-AF2D-B8965DF0E94E}" name="Parada Chuva" dataDxfId="12"/>
    <tableColumn id="12" xr3:uid="{90F4024D-A965-4556-AE21-FC124F0A4EDE}" name="Outros Motivos" dataDxfId="11"/>
    <tableColumn id="13" xr3:uid="{AF68CA45-3033-4603-A4F9-A9A458020EFB}" name="Motivo / Justificativa"/>
    <tableColumn id="14" xr3:uid="{4D5FA6AC-DF9C-4C96-8846-ABD0A0AA1987}" name="Horario Inicial"/>
    <tableColumn id="17" xr3:uid="{45B6CF68-F002-45B7-B507-D1F0527A9AEB}" name="Horario Final"/>
    <tableColumn id="16" xr3:uid="{B0B2BB32-A9B3-4E73-AC87-2AFA97A15D25}" name="Total Horas dia" dataDxfId="10">
      <calculatedColumnFormula>Tabela_Fevereiro7[[#This Row],[Horario Final]]-Tabela_Fevereiro7[[#This Row],[Horario Inicial]]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M37"/>
  <sheetViews>
    <sheetView workbookViewId="0">
      <selection activeCell="G32" sqref="G32"/>
    </sheetView>
  </sheetViews>
  <sheetFormatPr defaultRowHeight="14.5" x14ac:dyDescent="0.35"/>
  <cols>
    <col min="1" max="1" width="14" customWidth="1"/>
    <col min="2" max="2" width="28.7265625" customWidth="1"/>
    <col min="3" max="4" width="18" customWidth="1"/>
    <col min="5" max="5" width="15.36328125" customWidth="1"/>
    <col min="6" max="6" width="21.36328125" customWidth="1"/>
    <col min="7" max="7" width="16" style="7" customWidth="1"/>
    <col min="8" max="8" width="18.453125" customWidth="1"/>
    <col min="9" max="9" width="20" customWidth="1"/>
    <col min="10" max="10" width="16.54296875" customWidth="1"/>
    <col min="11" max="11" width="19" customWidth="1"/>
    <col min="12" max="12" width="16.54296875" style="7" customWidth="1"/>
    <col min="13" max="13" width="60.453125" customWidth="1"/>
    <col min="14" max="14" width="18" customWidth="1"/>
    <col min="15" max="15" width="12" customWidth="1"/>
    <col min="16" max="16" width="18" customWidth="1"/>
    <col min="17" max="17" width="31.6328125" customWidth="1"/>
  </cols>
  <sheetData>
    <row r="1" spans="1:65" ht="21" x14ac:dyDescent="0.35">
      <c r="A1" s="152" t="s">
        <v>15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</row>
    <row r="3" spans="1:65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5" t="s">
        <v>6</v>
      </c>
      <c r="H3" s="1" t="s">
        <v>147</v>
      </c>
      <c r="I3" s="1" t="s">
        <v>145</v>
      </c>
      <c r="J3" s="1" t="s">
        <v>7</v>
      </c>
      <c r="K3" s="1" t="s">
        <v>8</v>
      </c>
      <c r="L3" s="5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</row>
    <row r="4" spans="1:65" ht="16" customHeight="1" x14ac:dyDescent="0.35">
      <c r="A4" s="3">
        <v>46062</v>
      </c>
      <c r="B4" s="2" t="s">
        <v>23</v>
      </c>
      <c r="C4" s="2" t="s">
        <v>112</v>
      </c>
      <c r="D4" s="2"/>
      <c r="E4" s="4">
        <v>0.375</v>
      </c>
      <c r="F4" s="4">
        <v>0.29166666666666669</v>
      </c>
      <c r="G4" s="6">
        <f t="shared" ref="G4:G22" si="0">E4-F4</f>
        <v>8.3333333333333315E-2</v>
      </c>
      <c r="H4" s="4">
        <v>8.3333333333333329E-2</v>
      </c>
      <c r="I4" s="2"/>
      <c r="J4" s="2"/>
      <c r="K4" s="2"/>
      <c r="L4" s="6">
        <f t="shared" ref="L4:L22" si="1">SUM(H4:K4)</f>
        <v>8.3333333333333329E-2</v>
      </c>
      <c r="M4" s="2" t="s">
        <v>198</v>
      </c>
      <c r="N4" s="2" t="s">
        <v>29</v>
      </c>
      <c r="O4" s="2"/>
      <c r="P4" s="2"/>
      <c r="Q4" s="2" t="s">
        <v>199</v>
      </c>
    </row>
    <row r="5" spans="1:65" ht="16" customHeight="1" x14ac:dyDescent="0.35">
      <c r="A5" s="3">
        <v>46063</v>
      </c>
      <c r="B5" s="2" t="s">
        <v>23</v>
      </c>
      <c r="C5" s="2" t="s">
        <v>112</v>
      </c>
      <c r="D5" s="2"/>
      <c r="E5" s="4">
        <v>0.375</v>
      </c>
      <c r="F5" s="4">
        <v>4.1666666666666664E-2</v>
      </c>
      <c r="G5" s="6">
        <f t="shared" si="0"/>
        <v>0.33333333333333331</v>
      </c>
      <c r="H5" s="4">
        <v>0.33333333333333331</v>
      </c>
      <c r="I5" s="2"/>
      <c r="J5" s="2"/>
      <c r="K5" s="2"/>
      <c r="L5" s="6">
        <f t="shared" si="1"/>
        <v>0.33333333333333331</v>
      </c>
      <c r="M5" s="2" t="s">
        <v>200</v>
      </c>
      <c r="N5" s="2" t="s">
        <v>29</v>
      </c>
      <c r="O5" s="2"/>
      <c r="P5" s="2"/>
      <c r="Q5" s="2" t="s">
        <v>201</v>
      </c>
    </row>
    <row r="6" spans="1:65" ht="16" customHeight="1" x14ac:dyDescent="0.35">
      <c r="A6" s="3">
        <v>46064</v>
      </c>
      <c r="B6" s="2" t="s">
        <v>23</v>
      </c>
      <c r="C6" s="2" t="s">
        <v>112</v>
      </c>
      <c r="D6" s="2" t="s">
        <v>24</v>
      </c>
      <c r="E6" s="4">
        <v>0.375</v>
      </c>
      <c r="F6" s="4">
        <v>0.20833333333333334</v>
      </c>
      <c r="G6" s="6">
        <f t="shared" si="0"/>
        <v>0.16666666666666666</v>
      </c>
      <c r="H6" s="4">
        <v>0.20833333333333334</v>
      </c>
      <c r="I6" s="2"/>
      <c r="J6" s="2"/>
      <c r="K6" s="2"/>
      <c r="L6" s="6">
        <f t="shared" si="1"/>
        <v>0.20833333333333334</v>
      </c>
      <c r="M6" s="2" t="s">
        <v>28</v>
      </c>
      <c r="N6" s="2" t="s">
        <v>29</v>
      </c>
      <c r="O6" s="2">
        <v>1</v>
      </c>
      <c r="P6" s="2">
        <v>88007</v>
      </c>
      <c r="Q6" s="2"/>
    </row>
    <row r="7" spans="1:65" x14ac:dyDescent="0.35">
      <c r="A7" s="3">
        <v>46065</v>
      </c>
      <c r="B7" s="2" t="s">
        <v>23</v>
      </c>
      <c r="C7" s="2" t="s">
        <v>112</v>
      </c>
      <c r="D7" s="2" t="s">
        <v>24</v>
      </c>
      <c r="E7" s="4">
        <v>0.375</v>
      </c>
      <c r="F7" s="4">
        <v>9.7222222222222224E-2</v>
      </c>
      <c r="G7" s="6">
        <f t="shared" si="0"/>
        <v>0.27777777777777779</v>
      </c>
      <c r="H7" s="4">
        <v>0.20833333333333334</v>
      </c>
      <c r="I7" s="2"/>
      <c r="J7" s="2"/>
      <c r="K7" s="2"/>
      <c r="L7" s="6">
        <f t="shared" si="1"/>
        <v>0.20833333333333334</v>
      </c>
      <c r="M7" s="2" t="s">
        <v>25</v>
      </c>
      <c r="N7" s="2" t="s">
        <v>29</v>
      </c>
      <c r="O7" s="2">
        <v>2</v>
      </c>
      <c r="P7" s="2">
        <v>88007</v>
      </c>
      <c r="Q7" s="2"/>
    </row>
    <row r="8" spans="1:65" x14ac:dyDescent="0.35">
      <c r="A8" s="3">
        <v>46066</v>
      </c>
      <c r="B8" s="2" t="s">
        <v>23</v>
      </c>
      <c r="C8" s="2" t="s">
        <v>114</v>
      </c>
      <c r="D8" s="2" t="s">
        <v>24</v>
      </c>
      <c r="E8" s="4">
        <v>0.375</v>
      </c>
      <c r="F8" s="4">
        <v>0.22916666666666666</v>
      </c>
      <c r="G8" s="6">
        <f t="shared" si="0"/>
        <v>0.14583333333333334</v>
      </c>
      <c r="H8" s="4">
        <v>0.1875</v>
      </c>
      <c r="I8" s="2"/>
      <c r="J8" s="2"/>
      <c r="K8" s="2"/>
      <c r="L8" s="6">
        <f t="shared" si="1"/>
        <v>0.1875</v>
      </c>
      <c r="M8" s="2" t="s">
        <v>30</v>
      </c>
      <c r="N8" s="2" t="s">
        <v>29</v>
      </c>
      <c r="O8" s="2">
        <v>3</v>
      </c>
      <c r="P8" s="2">
        <v>88007</v>
      </c>
      <c r="Q8" s="2"/>
    </row>
    <row r="9" spans="1:65" s="11" customFormat="1" x14ac:dyDescent="0.35">
      <c r="A9" s="8">
        <v>46067</v>
      </c>
      <c r="B9" s="9" t="s">
        <v>23</v>
      </c>
      <c r="C9" s="9"/>
      <c r="D9" s="9"/>
      <c r="E9" s="9"/>
      <c r="F9" s="9"/>
      <c r="G9" s="10"/>
      <c r="H9" s="9"/>
      <c r="I9" s="9"/>
      <c r="J9" s="9"/>
      <c r="K9" s="9"/>
      <c r="L9" s="10">
        <f t="shared" si="1"/>
        <v>0</v>
      </c>
      <c r="M9" s="9" t="s">
        <v>26</v>
      </c>
      <c r="N9" s="9"/>
      <c r="O9" s="9">
        <v>4</v>
      </c>
      <c r="P9" s="9">
        <v>88007</v>
      </c>
      <c r="Q9" s="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</row>
    <row r="10" spans="1:65" s="11" customFormat="1" x14ac:dyDescent="0.35">
      <c r="A10" s="8">
        <v>46068</v>
      </c>
      <c r="B10" s="9" t="s">
        <v>23</v>
      </c>
      <c r="C10" s="9"/>
      <c r="D10" s="9"/>
      <c r="E10" s="9"/>
      <c r="F10" s="9"/>
      <c r="G10" s="10"/>
      <c r="H10" s="9"/>
      <c r="I10" s="9"/>
      <c r="J10" s="9"/>
      <c r="K10" s="9"/>
      <c r="L10" s="10">
        <f t="shared" si="1"/>
        <v>0</v>
      </c>
      <c r="M10" s="9" t="s">
        <v>26</v>
      </c>
      <c r="N10" s="9"/>
      <c r="O10" s="9">
        <v>5</v>
      </c>
      <c r="P10" s="9">
        <v>88007</v>
      </c>
      <c r="Q10" s="9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</row>
    <row r="11" spans="1:65" x14ac:dyDescent="0.35">
      <c r="A11" s="3">
        <v>46069</v>
      </c>
      <c r="B11" s="2" t="s">
        <v>23</v>
      </c>
      <c r="C11" s="2" t="s">
        <v>112</v>
      </c>
      <c r="D11" s="2" t="s">
        <v>24</v>
      </c>
      <c r="E11" s="4">
        <v>0.4375</v>
      </c>
      <c r="F11" s="4">
        <v>0.40277777777777779</v>
      </c>
      <c r="G11" s="6">
        <f t="shared" si="0"/>
        <v>3.472222222222221E-2</v>
      </c>
      <c r="H11" s="4">
        <v>3.4722222222222224E-2</v>
      </c>
      <c r="I11" s="2"/>
      <c r="J11" s="2"/>
      <c r="K11" s="2"/>
      <c r="L11" s="6">
        <f t="shared" si="1"/>
        <v>3.4722222222222224E-2</v>
      </c>
      <c r="M11" s="2" t="s">
        <v>27</v>
      </c>
      <c r="N11" s="2" t="s">
        <v>29</v>
      </c>
      <c r="O11" s="2">
        <v>6</v>
      </c>
      <c r="P11" s="2">
        <v>88007</v>
      </c>
      <c r="Q11" s="2"/>
    </row>
    <row r="12" spans="1:65" x14ac:dyDescent="0.35">
      <c r="A12" s="3">
        <v>46070</v>
      </c>
      <c r="B12" s="2" t="s">
        <v>23</v>
      </c>
      <c r="C12" s="2" t="s">
        <v>112</v>
      </c>
      <c r="D12" s="2" t="s">
        <v>24</v>
      </c>
      <c r="E12" s="4">
        <v>0.375</v>
      </c>
      <c r="F12" s="4">
        <v>0.16666666666666666</v>
      </c>
      <c r="G12" s="6">
        <f t="shared" si="0"/>
        <v>0.20833333333333334</v>
      </c>
      <c r="H12" s="4">
        <v>6.9444444444444448E-2</v>
      </c>
      <c r="I12" s="2"/>
      <c r="J12" s="2"/>
      <c r="K12" s="4">
        <v>0.1388888888888889</v>
      </c>
      <c r="L12" s="6">
        <f t="shared" si="1"/>
        <v>0.20833333333333334</v>
      </c>
      <c r="M12" s="2" t="s">
        <v>31</v>
      </c>
      <c r="N12" s="2" t="s">
        <v>29</v>
      </c>
      <c r="O12" s="2">
        <v>7</v>
      </c>
      <c r="P12" s="2">
        <v>88007</v>
      </c>
      <c r="Q12" s="2"/>
    </row>
    <row r="13" spans="1:65" x14ac:dyDescent="0.35">
      <c r="A13" s="3">
        <v>46071</v>
      </c>
      <c r="B13" s="2" t="s">
        <v>23</v>
      </c>
      <c r="C13" s="2" t="s">
        <v>112</v>
      </c>
      <c r="D13" s="2" t="s">
        <v>24</v>
      </c>
      <c r="E13" s="4">
        <v>0.375</v>
      </c>
      <c r="F13" s="4">
        <v>0.375</v>
      </c>
      <c r="G13" s="6">
        <f t="shared" si="0"/>
        <v>0</v>
      </c>
      <c r="H13" s="4"/>
      <c r="I13" s="2"/>
      <c r="J13" s="2"/>
      <c r="K13" s="2"/>
      <c r="L13" s="6">
        <f t="shared" si="1"/>
        <v>0</v>
      </c>
      <c r="M13" s="2"/>
      <c r="N13" s="2" t="s">
        <v>29</v>
      </c>
      <c r="O13" s="2">
        <v>8</v>
      </c>
      <c r="P13" s="2">
        <v>88007</v>
      </c>
      <c r="Q13" s="2"/>
    </row>
    <row r="14" spans="1:65" x14ac:dyDescent="0.35">
      <c r="A14" s="3">
        <v>46072</v>
      </c>
      <c r="B14" s="2" t="s">
        <v>23</v>
      </c>
      <c r="C14" s="2" t="s">
        <v>112</v>
      </c>
      <c r="D14" s="2" t="s">
        <v>24</v>
      </c>
      <c r="E14" s="4">
        <v>0.41666666666666669</v>
      </c>
      <c r="F14" s="4">
        <v>0.25</v>
      </c>
      <c r="G14" s="6">
        <f t="shared" si="0"/>
        <v>0.16666666666666669</v>
      </c>
      <c r="H14" s="4"/>
      <c r="I14" s="2"/>
      <c r="J14" s="2"/>
      <c r="K14" s="4">
        <v>0.16666666666666666</v>
      </c>
      <c r="L14" s="6">
        <f t="shared" si="1"/>
        <v>0.16666666666666666</v>
      </c>
      <c r="M14" s="2" t="s">
        <v>80</v>
      </c>
      <c r="N14" s="2" t="s">
        <v>29</v>
      </c>
      <c r="O14" s="2">
        <v>9</v>
      </c>
      <c r="P14" s="2">
        <v>88007</v>
      </c>
      <c r="Q14" s="2"/>
    </row>
    <row r="15" spans="1:65" x14ac:dyDescent="0.35">
      <c r="A15" s="3">
        <v>46073</v>
      </c>
      <c r="B15" s="2" t="s">
        <v>23</v>
      </c>
      <c r="C15" s="2" t="s">
        <v>112</v>
      </c>
      <c r="D15" s="2" t="s">
        <v>24</v>
      </c>
      <c r="E15" s="4">
        <v>0.39583333333333331</v>
      </c>
      <c r="F15" s="4">
        <v>0.39583333333333331</v>
      </c>
      <c r="G15" s="6">
        <f t="shared" si="0"/>
        <v>0</v>
      </c>
      <c r="H15" s="4"/>
      <c r="I15" s="2"/>
      <c r="J15" s="2"/>
      <c r="K15" s="2"/>
      <c r="L15" s="6">
        <f t="shared" si="1"/>
        <v>0</v>
      </c>
      <c r="M15" s="2"/>
      <c r="N15" s="2" t="s">
        <v>29</v>
      </c>
      <c r="O15" s="2">
        <v>10</v>
      </c>
      <c r="P15" s="2">
        <v>88007</v>
      </c>
      <c r="Q15" s="2"/>
    </row>
    <row r="16" spans="1:65" x14ac:dyDescent="0.35">
      <c r="A16" s="3">
        <v>46074</v>
      </c>
      <c r="B16" s="2" t="s">
        <v>23</v>
      </c>
      <c r="C16" s="2" t="s">
        <v>112</v>
      </c>
      <c r="D16" s="2" t="s">
        <v>24</v>
      </c>
      <c r="E16" s="4">
        <v>0.41666666666666669</v>
      </c>
      <c r="F16" s="4">
        <v>0.41666666666666669</v>
      </c>
      <c r="G16" s="6">
        <f t="shared" si="0"/>
        <v>0</v>
      </c>
      <c r="H16" s="4"/>
      <c r="I16" s="2"/>
      <c r="J16" s="2"/>
      <c r="K16" s="2"/>
      <c r="L16" s="6">
        <f t="shared" si="1"/>
        <v>0</v>
      </c>
      <c r="M16" s="2"/>
      <c r="N16" s="2" t="s">
        <v>29</v>
      </c>
      <c r="O16" s="2">
        <v>11</v>
      </c>
      <c r="P16" s="2">
        <v>88007</v>
      </c>
      <c r="Q16" s="2"/>
    </row>
    <row r="17" spans="1:17" x14ac:dyDescent="0.35">
      <c r="A17" s="3">
        <v>46075</v>
      </c>
      <c r="B17" s="2" t="s">
        <v>23</v>
      </c>
      <c r="C17" s="2" t="s">
        <v>112</v>
      </c>
      <c r="D17" s="2" t="s">
        <v>24</v>
      </c>
      <c r="E17" s="4">
        <v>0.375</v>
      </c>
      <c r="F17" s="4">
        <v>0.3347222222222222</v>
      </c>
      <c r="G17" s="6">
        <f t="shared" si="0"/>
        <v>4.0277777777777801E-2</v>
      </c>
      <c r="H17" s="4"/>
      <c r="I17" s="2"/>
      <c r="J17" s="4">
        <v>4.027777777777778E-2</v>
      </c>
      <c r="K17" s="2"/>
      <c r="L17" s="6">
        <f t="shared" si="1"/>
        <v>4.027777777777778E-2</v>
      </c>
      <c r="M17" s="2" t="s">
        <v>32</v>
      </c>
      <c r="N17" s="2" t="s">
        <v>29</v>
      </c>
      <c r="O17" s="2">
        <v>12</v>
      </c>
      <c r="P17" s="2">
        <v>88007</v>
      </c>
      <c r="Q17" s="2"/>
    </row>
    <row r="18" spans="1:17" x14ac:dyDescent="0.35">
      <c r="A18" s="3">
        <v>46076</v>
      </c>
      <c r="B18" s="2" t="s">
        <v>23</v>
      </c>
      <c r="C18" s="2" t="s">
        <v>112</v>
      </c>
      <c r="D18" s="2" t="s">
        <v>24</v>
      </c>
      <c r="E18" s="4">
        <v>0.43055555555555558</v>
      </c>
      <c r="F18" s="4">
        <v>0.43055555555555558</v>
      </c>
      <c r="G18" s="6">
        <f t="shared" si="0"/>
        <v>0</v>
      </c>
      <c r="H18" s="2"/>
      <c r="I18" s="2"/>
      <c r="J18" s="2"/>
      <c r="K18" s="2"/>
      <c r="L18" s="6">
        <f t="shared" si="1"/>
        <v>0</v>
      </c>
      <c r="M18" s="2"/>
      <c r="N18" s="2" t="s">
        <v>29</v>
      </c>
      <c r="O18" s="2">
        <v>13</v>
      </c>
      <c r="P18" s="2">
        <v>88007</v>
      </c>
      <c r="Q18" s="2" t="s">
        <v>35</v>
      </c>
    </row>
    <row r="19" spans="1:17" x14ac:dyDescent="0.35">
      <c r="A19" s="3">
        <v>46077</v>
      </c>
      <c r="B19" s="2" t="s">
        <v>23</v>
      </c>
      <c r="C19" s="2" t="s">
        <v>112</v>
      </c>
      <c r="D19" s="2" t="s">
        <v>24</v>
      </c>
      <c r="E19" s="4">
        <v>0.43055555555555558</v>
      </c>
      <c r="F19" s="4">
        <v>0.31597222222222221</v>
      </c>
      <c r="G19" s="6">
        <f t="shared" si="0"/>
        <v>0.11458333333333337</v>
      </c>
      <c r="H19" s="2"/>
      <c r="I19" s="2"/>
      <c r="J19" s="2"/>
      <c r="K19" s="4">
        <v>0.11458333333333333</v>
      </c>
      <c r="L19" s="6">
        <f t="shared" si="1"/>
        <v>0.11458333333333333</v>
      </c>
      <c r="M19" s="2" t="s">
        <v>34</v>
      </c>
      <c r="N19" s="2" t="s">
        <v>33</v>
      </c>
      <c r="O19" s="2">
        <v>14</v>
      </c>
      <c r="P19" s="2">
        <v>88007</v>
      </c>
      <c r="Q19" s="2" t="s">
        <v>36</v>
      </c>
    </row>
    <row r="20" spans="1:17" x14ac:dyDescent="0.35">
      <c r="A20" s="3">
        <v>46078</v>
      </c>
      <c r="B20" s="2" t="s">
        <v>23</v>
      </c>
      <c r="C20" s="2" t="s">
        <v>112</v>
      </c>
      <c r="D20" s="2" t="s">
        <v>24</v>
      </c>
      <c r="E20" s="4">
        <v>0.4375</v>
      </c>
      <c r="F20" s="4">
        <v>0.15972222222222221</v>
      </c>
      <c r="G20" s="6">
        <f t="shared" si="0"/>
        <v>0.27777777777777779</v>
      </c>
      <c r="H20" s="2"/>
      <c r="I20" s="2"/>
      <c r="J20" s="2"/>
      <c r="K20" s="4">
        <v>0.27777777777777779</v>
      </c>
      <c r="L20" s="6">
        <f t="shared" si="1"/>
        <v>0.27777777777777779</v>
      </c>
      <c r="M20" s="2" t="s">
        <v>37</v>
      </c>
      <c r="N20" s="2" t="s">
        <v>33</v>
      </c>
      <c r="O20" s="2">
        <v>15</v>
      </c>
      <c r="P20" s="2">
        <v>88007</v>
      </c>
      <c r="Q20" s="2" t="s">
        <v>38</v>
      </c>
    </row>
    <row r="21" spans="1:17" x14ac:dyDescent="0.35">
      <c r="A21" s="3">
        <v>46079</v>
      </c>
      <c r="B21" s="2" t="s">
        <v>23</v>
      </c>
      <c r="C21" s="2" t="s">
        <v>112</v>
      </c>
      <c r="D21" s="2" t="s">
        <v>24</v>
      </c>
      <c r="E21" s="4">
        <v>0.41666666666666669</v>
      </c>
      <c r="F21" s="4">
        <v>0.41666666666666669</v>
      </c>
      <c r="G21" s="6">
        <f t="shared" si="0"/>
        <v>0</v>
      </c>
      <c r="H21" s="2"/>
      <c r="I21" s="2"/>
      <c r="J21" s="2"/>
      <c r="K21" s="2"/>
      <c r="L21" s="6">
        <f t="shared" si="1"/>
        <v>0</v>
      </c>
      <c r="M21" s="2"/>
      <c r="N21" s="2" t="s">
        <v>33</v>
      </c>
      <c r="O21" s="2">
        <v>16</v>
      </c>
      <c r="P21" s="2">
        <v>88007</v>
      </c>
      <c r="Q21" s="2"/>
    </row>
    <row r="22" spans="1:17" x14ac:dyDescent="0.35">
      <c r="A22" s="3">
        <v>46080</v>
      </c>
      <c r="B22" s="2" t="s">
        <v>23</v>
      </c>
      <c r="C22" s="2" t="s">
        <v>112</v>
      </c>
      <c r="D22" s="2" t="s">
        <v>24</v>
      </c>
      <c r="E22" s="4">
        <v>0.33333333333333331</v>
      </c>
      <c r="F22" s="4">
        <v>0.3125</v>
      </c>
      <c r="G22" s="6">
        <f t="shared" si="0"/>
        <v>2.0833333333333315E-2</v>
      </c>
      <c r="H22" s="2"/>
      <c r="I22" s="4">
        <v>2.0833333333333332E-2</v>
      </c>
      <c r="J22" s="2"/>
      <c r="K22" s="2"/>
      <c r="L22" s="6">
        <f t="shared" si="1"/>
        <v>2.0833333333333332E-2</v>
      </c>
      <c r="M22" s="2" t="s">
        <v>40</v>
      </c>
      <c r="N22" s="2" t="s">
        <v>39</v>
      </c>
      <c r="O22" s="2">
        <v>17</v>
      </c>
      <c r="P22" s="2">
        <v>88007</v>
      </c>
      <c r="Q22" s="2"/>
    </row>
    <row r="23" spans="1:17" x14ac:dyDescent="0.35">
      <c r="A23" s="3">
        <v>46081</v>
      </c>
      <c r="B23" s="2" t="s">
        <v>23</v>
      </c>
      <c r="C23" s="2"/>
      <c r="D23" s="2"/>
      <c r="E23" s="2"/>
      <c r="F23" s="2"/>
      <c r="G23" s="6"/>
      <c r="H23" s="2"/>
      <c r="I23" s="2"/>
      <c r="J23" s="2"/>
      <c r="K23" s="2"/>
      <c r="L23" s="6"/>
      <c r="M23" s="2" t="s">
        <v>41</v>
      </c>
      <c r="N23" s="2"/>
      <c r="O23" s="2">
        <v>18</v>
      </c>
      <c r="P23" s="2">
        <v>88007</v>
      </c>
      <c r="Q23" s="2"/>
    </row>
    <row r="24" spans="1:17" x14ac:dyDescent="0.35">
      <c r="A24" s="2"/>
      <c r="B24" s="2"/>
      <c r="C24" s="2"/>
      <c r="D24" s="2"/>
      <c r="E24" s="12" t="s">
        <v>42</v>
      </c>
      <c r="F24" s="12" t="s">
        <v>42</v>
      </c>
      <c r="G24" s="14" t="s">
        <v>42</v>
      </c>
      <c r="H24" s="12" t="s">
        <v>42</v>
      </c>
      <c r="I24" s="12" t="s">
        <v>42</v>
      </c>
      <c r="J24" s="12" t="s">
        <v>42</v>
      </c>
      <c r="K24" s="12" t="s">
        <v>42</v>
      </c>
      <c r="L24" s="6"/>
      <c r="M24" s="2"/>
      <c r="N24" s="2"/>
      <c r="O24" s="2"/>
      <c r="P24" s="2"/>
      <c r="Q24" s="2"/>
    </row>
    <row r="25" spans="1:17" x14ac:dyDescent="0.35">
      <c r="A25" s="2"/>
      <c r="B25" s="2"/>
      <c r="C25" s="2"/>
      <c r="D25" s="2"/>
      <c r="E25" s="13">
        <f t="shared" ref="E25:K25" si="2">SUM(E4:E22)</f>
        <v>6.7152777777777777</v>
      </c>
      <c r="F25" s="13">
        <f t="shared" si="2"/>
        <v>4.8451388888888891</v>
      </c>
      <c r="G25" s="36">
        <f t="shared" si="2"/>
        <v>1.8701388888888888</v>
      </c>
      <c r="H25" s="13">
        <f t="shared" si="2"/>
        <v>1.1250000000000002</v>
      </c>
      <c r="I25" s="13">
        <f t="shared" si="2"/>
        <v>2.0833333333333332E-2</v>
      </c>
      <c r="J25" s="13">
        <f t="shared" si="2"/>
        <v>4.027777777777778E-2</v>
      </c>
      <c r="K25" s="13">
        <f t="shared" si="2"/>
        <v>0.69791666666666674</v>
      </c>
      <c r="L25" s="6"/>
      <c r="M25" s="2"/>
      <c r="N25" s="2"/>
      <c r="O25" s="2"/>
      <c r="P25" s="2"/>
      <c r="Q25" s="2"/>
    </row>
    <row r="27" spans="1:17" ht="18.5" x14ac:dyDescent="0.45">
      <c r="A27" s="154" t="s">
        <v>133</v>
      </c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</row>
    <row r="28" spans="1:17" x14ac:dyDescent="0.35">
      <c r="A28" s="7"/>
      <c r="B28" s="7"/>
      <c r="C28" s="7"/>
      <c r="D28" s="7"/>
      <c r="E28" s="7"/>
      <c r="F28" s="7"/>
      <c r="H28" s="7"/>
      <c r="I28" s="7"/>
      <c r="J28" s="7"/>
      <c r="K28" s="7"/>
      <c r="M28" s="7"/>
    </row>
    <row r="29" spans="1:17" x14ac:dyDescent="0.35">
      <c r="A29" s="25" t="s">
        <v>88</v>
      </c>
      <c r="B29" s="6"/>
      <c r="C29" s="6"/>
      <c r="D29" s="6">
        <f>SUM(E4:E23)</f>
        <v>6.7152777777777777</v>
      </c>
      <c r="E29" s="6"/>
      <c r="F29" s="6">
        <f t="shared" ref="F29:F35" si="3">D29/11</f>
        <v>0.61047979797979801</v>
      </c>
      <c r="G29" s="6" t="s">
        <v>89</v>
      </c>
      <c r="H29" s="7"/>
      <c r="I29" s="7"/>
      <c r="J29" s="7"/>
      <c r="K29" s="7"/>
      <c r="M29" s="7"/>
    </row>
    <row r="30" spans="1:17" x14ac:dyDescent="0.35">
      <c r="A30" s="25" t="s">
        <v>90</v>
      </c>
      <c r="B30" s="6"/>
      <c r="C30" s="6"/>
      <c r="D30" s="6">
        <f>SUM(F4:F23)</f>
        <v>4.8451388888888891</v>
      </c>
      <c r="E30" s="6"/>
      <c r="F30" s="6">
        <f t="shared" si="3"/>
        <v>0.44046717171717176</v>
      </c>
      <c r="G30" s="6" t="s">
        <v>89</v>
      </c>
      <c r="H30" s="7"/>
      <c r="I30" s="7"/>
      <c r="J30" s="7"/>
      <c r="K30" s="7"/>
      <c r="M30" s="7"/>
    </row>
    <row r="31" spans="1:17" x14ac:dyDescent="0.35">
      <c r="A31" s="25" t="s">
        <v>91</v>
      </c>
      <c r="B31" s="6"/>
      <c r="C31" s="6"/>
      <c r="D31" s="6">
        <f>SUM(G4:G23)</f>
        <v>1.8701388888888888</v>
      </c>
      <c r="E31" s="6"/>
      <c r="F31" s="6">
        <f t="shared" si="3"/>
        <v>0.17001262626262625</v>
      </c>
      <c r="G31" s="6" t="s">
        <v>89</v>
      </c>
      <c r="H31" s="7"/>
      <c r="I31" s="7"/>
      <c r="J31" s="7"/>
      <c r="K31" s="7"/>
      <c r="M31" s="7"/>
    </row>
    <row r="32" spans="1:17" x14ac:dyDescent="0.35">
      <c r="A32" s="25" t="s">
        <v>153</v>
      </c>
      <c r="B32" s="6"/>
      <c r="C32" s="6"/>
      <c r="D32" s="6">
        <f>SUM(H4:H23)</f>
        <v>1.1250000000000002</v>
      </c>
      <c r="E32" s="6"/>
      <c r="F32" s="6">
        <f t="shared" si="3"/>
        <v>0.10227272727272729</v>
      </c>
      <c r="G32" s="6" t="s">
        <v>89</v>
      </c>
      <c r="H32" s="7"/>
      <c r="I32" s="7"/>
      <c r="J32" s="7"/>
      <c r="K32" s="7"/>
      <c r="M32" s="7"/>
    </row>
    <row r="33" spans="1:13" x14ac:dyDescent="0.35">
      <c r="A33" s="25" t="s">
        <v>152</v>
      </c>
      <c r="B33" s="6"/>
      <c r="C33" s="6"/>
      <c r="D33" s="6">
        <f>SUM(I4:I23)</f>
        <v>2.0833333333333332E-2</v>
      </c>
      <c r="E33" s="6"/>
      <c r="F33" s="6">
        <f t="shared" si="3"/>
        <v>1.8939393939393938E-3</v>
      </c>
      <c r="G33" s="6" t="s">
        <v>89</v>
      </c>
      <c r="H33" s="7"/>
      <c r="I33" s="7"/>
      <c r="J33" s="7"/>
      <c r="K33" s="7"/>
      <c r="M33" s="7"/>
    </row>
    <row r="34" spans="1:13" x14ac:dyDescent="0.35">
      <c r="A34" s="25" t="s">
        <v>92</v>
      </c>
      <c r="B34" s="6"/>
      <c r="C34" s="6"/>
      <c r="D34" s="6">
        <f>SUM(J4:J23)</f>
        <v>4.027777777777778E-2</v>
      </c>
      <c r="E34" s="6"/>
      <c r="F34" s="6">
        <f t="shared" si="3"/>
        <v>3.6616161616161618E-3</v>
      </c>
      <c r="G34" s="6" t="s">
        <v>89</v>
      </c>
      <c r="H34" s="7"/>
      <c r="I34" s="7"/>
      <c r="J34" s="7"/>
      <c r="K34" s="7"/>
      <c r="M34" s="7"/>
    </row>
    <row r="35" spans="1:13" x14ac:dyDescent="0.35">
      <c r="A35" s="25" t="s">
        <v>93</v>
      </c>
      <c r="B35" s="6"/>
      <c r="C35" s="6"/>
      <c r="D35" s="6">
        <f>SUM(K4:K23)</f>
        <v>0.69791666666666674</v>
      </c>
      <c r="E35" s="6"/>
      <c r="F35" s="6">
        <f t="shared" si="3"/>
        <v>6.344696969696971E-2</v>
      </c>
      <c r="G35" s="6" t="s">
        <v>89</v>
      </c>
      <c r="H35" s="7"/>
      <c r="I35" s="7"/>
      <c r="J35" s="7"/>
      <c r="K35" s="7"/>
      <c r="M35" s="7"/>
    </row>
    <row r="36" spans="1:13" x14ac:dyDescent="0.35">
      <c r="A36" s="7"/>
      <c r="B36" s="7"/>
      <c r="C36" s="7"/>
      <c r="D36" s="7"/>
      <c r="E36" s="7"/>
      <c r="F36" s="7"/>
      <c r="H36" s="7"/>
      <c r="I36" s="7"/>
      <c r="J36" s="7"/>
      <c r="K36" s="7"/>
      <c r="M36" s="7"/>
    </row>
    <row r="37" spans="1:13" x14ac:dyDescent="0.35">
      <c r="A37" s="26" t="s">
        <v>94</v>
      </c>
      <c r="B37" s="7"/>
      <c r="C37" s="7"/>
      <c r="D37" s="7">
        <f>SUM(F4:F23)</f>
        <v>4.8451388888888891</v>
      </c>
      <c r="E37" s="7"/>
      <c r="F37" s="7"/>
      <c r="H37" s="7"/>
      <c r="I37" s="7"/>
      <c r="J37" s="7"/>
      <c r="K37" s="7"/>
      <c r="M37" s="7"/>
    </row>
  </sheetData>
  <mergeCells count="2">
    <mergeCell ref="A1:Q1"/>
    <mergeCell ref="A27:Q27"/>
  </mergeCells>
  <phoneticPr fontId="12" type="noConversion"/>
  <conditionalFormatting sqref="G4:G25">
    <cfRule type="expression" dxfId="6" priority="1">
      <formula>G4&gt;4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9"/>
  <sheetViews>
    <sheetView topLeftCell="F21" workbookViewId="0">
      <selection activeCell="A45" sqref="A45:XFD45"/>
    </sheetView>
  </sheetViews>
  <sheetFormatPr defaultRowHeight="14.5" x14ac:dyDescent="0.35"/>
  <cols>
    <col min="1" max="1" width="14" customWidth="1"/>
    <col min="2" max="2" width="29.26953125" customWidth="1"/>
    <col min="3" max="4" width="18" customWidth="1"/>
    <col min="5" max="5" width="15.81640625" style="7" customWidth="1"/>
    <col min="6" max="6" width="20.1796875" style="7" customWidth="1"/>
    <col min="7" max="7" width="16.7265625" style="7" customWidth="1"/>
    <col min="8" max="8" width="16" style="7" customWidth="1"/>
    <col min="9" max="9" width="20" customWidth="1"/>
    <col min="10" max="10" width="18.90625" customWidth="1"/>
    <col min="11" max="11" width="19.54296875" customWidth="1"/>
    <col min="12" max="12" width="18.7265625" style="7" customWidth="1"/>
    <col min="13" max="13" width="43.1796875" customWidth="1"/>
    <col min="14" max="14" width="22.54296875" customWidth="1"/>
    <col min="15" max="15" width="12" customWidth="1"/>
    <col min="16" max="16" width="18" customWidth="1"/>
    <col min="17" max="17" width="52.453125" customWidth="1"/>
  </cols>
  <sheetData>
    <row r="1" spans="1:17" ht="21" x14ac:dyDescent="0.35">
      <c r="A1" s="152" t="s">
        <v>43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</row>
    <row r="3" spans="1:17" x14ac:dyDescent="0.35">
      <c r="A3" s="1" t="s">
        <v>0</v>
      </c>
      <c r="B3" s="1" t="s">
        <v>1</v>
      </c>
      <c r="C3" s="1" t="s">
        <v>2</v>
      </c>
      <c r="D3" s="1" t="s">
        <v>3</v>
      </c>
      <c r="E3" s="5" t="s">
        <v>4</v>
      </c>
      <c r="F3" s="5" t="s">
        <v>5</v>
      </c>
      <c r="G3" s="5" t="s">
        <v>6</v>
      </c>
      <c r="H3" s="5" t="s">
        <v>147</v>
      </c>
      <c r="I3" s="1" t="s">
        <v>145</v>
      </c>
      <c r="J3" s="1" t="s">
        <v>7</v>
      </c>
      <c r="K3" s="1" t="s">
        <v>8</v>
      </c>
      <c r="L3" s="5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</row>
    <row r="4" spans="1:17" x14ac:dyDescent="0.35">
      <c r="A4" s="3">
        <v>46082</v>
      </c>
      <c r="B4" s="2" t="s">
        <v>23</v>
      </c>
      <c r="C4" s="2"/>
      <c r="D4" s="2" t="s">
        <v>24</v>
      </c>
      <c r="E4" s="6"/>
      <c r="F4" s="6"/>
      <c r="G4" s="6"/>
      <c r="H4" s="6"/>
      <c r="I4" s="6"/>
      <c r="J4" s="6"/>
      <c r="K4" s="6"/>
      <c r="L4" s="6">
        <f t="shared" ref="L4:L34" si="0">SUM(H4:K4)</f>
        <v>0</v>
      </c>
      <c r="M4" s="2" t="s">
        <v>44</v>
      </c>
      <c r="N4" s="2"/>
      <c r="O4" s="2">
        <v>19</v>
      </c>
      <c r="P4" s="2">
        <v>88007</v>
      </c>
      <c r="Q4" s="2"/>
    </row>
    <row r="5" spans="1:17" x14ac:dyDescent="0.35">
      <c r="A5" s="3">
        <v>46083</v>
      </c>
      <c r="B5" s="2" t="s">
        <v>23</v>
      </c>
      <c r="C5" s="2" t="s">
        <v>112</v>
      </c>
      <c r="D5" s="2" t="s">
        <v>24</v>
      </c>
      <c r="E5" s="6">
        <v>0.41666666666666669</v>
      </c>
      <c r="F5" s="6">
        <v>0.33333333333333331</v>
      </c>
      <c r="G5" s="6">
        <f t="shared" ref="G5:G34" si="1">E5-F5</f>
        <v>8.333333333333337E-2</v>
      </c>
      <c r="H5" s="6">
        <v>8.3333333333333329E-2</v>
      </c>
      <c r="I5" s="6"/>
      <c r="J5" s="6"/>
      <c r="K5" s="6"/>
      <c r="L5" s="6">
        <f t="shared" si="0"/>
        <v>8.3333333333333329E-2</v>
      </c>
      <c r="M5" s="2" t="s">
        <v>45</v>
      </c>
      <c r="N5" s="2" t="s">
        <v>39</v>
      </c>
      <c r="O5" s="2">
        <v>20</v>
      </c>
      <c r="P5" s="2">
        <v>88007</v>
      </c>
      <c r="Q5" s="2" t="s">
        <v>47</v>
      </c>
    </row>
    <row r="6" spans="1:17" x14ac:dyDescent="0.35">
      <c r="A6" s="3">
        <v>46084</v>
      </c>
      <c r="B6" s="2" t="s">
        <v>23</v>
      </c>
      <c r="C6" s="2" t="s">
        <v>112</v>
      </c>
      <c r="D6" s="2" t="s">
        <v>24</v>
      </c>
      <c r="E6" s="6">
        <v>0.5</v>
      </c>
      <c r="F6" s="6">
        <v>0.4861111111111111</v>
      </c>
      <c r="G6" s="6">
        <f t="shared" si="1"/>
        <v>1.3888888888888895E-2</v>
      </c>
      <c r="H6" s="6"/>
      <c r="I6" s="6"/>
      <c r="J6" s="6"/>
      <c r="K6" s="6">
        <v>1.3888888888888888E-2</v>
      </c>
      <c r="L6" s="6">
        <f t="shared" si="0"/>
        <v>1.3888888888888888E-2</v>
      </c>
      <c r="M6" s="2" t="s">
        <v>46</v>
      </c>
      <c r="N6" s="2" t="s">
        <v>39</v>
      </c>
      <c r="O6" s="2">
        <v>21</v>
      </c>
      <c r="P6" s="2">
        <v>88007</v>
      </c>
      <c r="Q6" s="2" t="s">
        <v>47</v>
      </c>
    </row>
    <row r="7" spans="1:17" x14ac:dyDescent="0.35">
      <c r="A7" s="3">
        <v>46085</v>
      </c>
      <c r="B7" s="2" t="s">
        <v>23</v>
      </c>
      <c r="C7" s="2" t="s">
        <v>112</v>
      </c>
      <c r="D7" s="2" t="s">
        <v>24</v>
      </c>
      <c r="E7" s="6">
        <v>0.5</v>
      </c>
      <c r="F7" s="6">
        <v>0.28125</v>
      </c>
      <c r="G7" s="6">
        <f t="shared" si="1"/>
        <v>0.21875</v>
      </c>
      <c r="H7" s="6"/>
      <c r="I7" s="6"/>
      <c r="J7" s="6"/>
      <c r="K7" s="6">
        <v>0.21875</v>
      </c>
      <c r="L7" s="6">
        <f t="shared" si="0"/>
        <v>0.21875</v>
      </c>
      <c r="M7" s="2" t="s">
        <v>95</v>
      </c>
      <c r="N7" s="2" t="s">
        <v>39</v>
      </c>
      <c r="O7" s="2">
        <v>22</v>
      </c>
      <c r="P7" s="2">
        <v>88007</v>
      </c>
      <c r="Q7" s="2" t="s">
        <v>47</v>
      </c>
    </row>
    <row r="8" spans="1:17" x14ac:dyDescent="0.35">
      <c r="A8" s="3">
        <v>46086</v>
      </c>
      <c r="B8" s="2" t="s">
        <v>23</v>
      </c>
      <c r="C8" s="2" t="s">
        <v>112</v>
      </c>
      <c r="D8" s="2" t="s">
        <v>24</v>
      </c>
      <c r="E8" s="6">
        <v>0.41666666666666669</v>
      </c>
      <c r="F8" s="6">
        <v>0.3263888888888889</v>
      </c>
      <c r="G8" s="6">
        <f t="shared" si="1"/>
        <v>9.027777777777779E-2</v>
      </c>
      <c r="H8" s="6"/>
      <c r="I8" s="6"/>
      <c r="J8" s="6"/>
      <c r="K8" s="6">
        <v>9.0277777777777776E-2</v>
      </c>
      <c r="L8" s="6">
        <f t="shared" si="0"/>
        <v>9.0277777777777776E-2</v>
      </c>
      <c r="M8" s="2" t="s">
        <v>96</v>
      </c>
      <c r="N8" s="2" t="s">
        <v>39</v>
      </c>
      <c r="O8" s="2">
        <v>23</v>
      </c>
      <c r="P8" s="2">
        <v>88007</v>
      </c>
      <c r="Q8" s="2" t="s">
        <v>227</v>
      </c>
    </row>
    <row r="9" spans="1:17" x14ac:dyDescent="0.35">
      <c r="A9" s="3">
        <v>46087</v>
      </c>
      <c r="B9" s="2" t="s">
        <v>23</v>
      </c>
      <c r="C9" s="2" t="s">
        <v>112</v>
      </c>
      <c r="D9" s="2" t="s">
        <v>24</v>
      </c>
      <c r="E9" s="6">
        <v>0.4375</v>
      </c>
      <c r="F9" s="6">
        <v>0</v>
      </c>
      <c r="G9" s="6">
        <f t="shared" si="1"/>
        <v>0.4375</v>
      </c>
      <c r="H9" s="6">
        <v>0.35416666666666669</v>
      </c>
      <c r="I9" s="6"/>
      <c r="J9" s="6"/>
      <c r="K9" s="6">
        <v>8.3333333333333329E-2</v>
      </c>
      <c r="L9" s="6">
        <f t="shared" si="0"/>
        <v>0.4375</v>
      </c>
      <c r="M9" s="2" t="s">
        <v>97</v>
      </c>
      <c r="N9" s="2" t="s">
        <v>39</v>
      </c>
      <c r="O9" s="2">
        <v>24</v>
      </c>
      <c r="P9" s="2">
        <v>88007</v>
      </c>
      <c r="Q9" s="2"/>
    </row>
    <row r="10" spans="1:17" x14ac:dyDescent="0.35">
      <c r="A10" s="3">
        <v>46088</v>
      </c>
      <c r="B10" s="2" t="s">
        <v>23</v>
      </c>
      <c r="C10" s="2" t="s">
        <v>112</v>
      </c>
      <c r="D10" s="2" t="s">
        <v>24</v>
      </c>
      <c r="E10" s="6">
        <v>0.5</v>
      </c>
      <c r="F10" s="6">
        <v>0.5</v>
      </c>
      <c r="G10" s="6">
        <f t="shared" si="1"/>
        <v>0</v>
      </c>
      <c r="H10" s="6"/>
      <c r="I10" s="6"/>
      <c r="J10" s="6"/>
      <c r="K10" s="6"/>
      <c r="L10" s="6">
        <f t="shared" si="0"/>
        <v>0</v>
      </c>
      <c r="M10" s="2"/>
      <c r="N10" s="2"/>
      <c r="O10" s="2">
        <v>25</v>
      </c>
      <c r="P10" s="2">
        <v>88007</v>
      </c>
      <c r="Q10" s="2"/>
    </row>
    <row r="11" spans="1:17" x14ac:dyDescent="0.35">
      <c r="A11" s="3">
        <v>46089</v>
      </c>
      <c r="B11" s="2" t="s">
        <v>23</v>
      </c>
      <c r="C11" s="2" t="s">
        <v>112</v>
      </c>
      <c r="D11" s="2" t="s">
        <v>24</v>
      </c>
      <c r="E11" s="6">
        <v>0.5</v>
      </c>
      <c r="F11" s="6">
        <v>0.5</v>
      </c>
      <c r="G11" s="6">
        <f t="shared" si="1"/>
        <v>0</v>
      </c>
      <c r="H11" s="6"/>
      <c r="I11" s="6"/>
      <c r="J11" s="6"/>
      <c r="K11" s="6"/>
      <c r="L11" s="6">
        <f t="shared" si="0"/>
        <v>0</v>
      </c>
      <c r="M11" s="2"/>
      <c r="N11" s="2" t="s">
        <v>48</v>
      </c>
      <c r="O11" s="2">
        <v>26</v>
      </c>
      <c r="P11" s="2">
        <v>88007</v>
      </c>
      <c r="Q11" s="2" t="s">
        <v>49</v>
      </c>
    </row>
    <row r="12" spans="1:17" x14ac:dyDescent="0.35">
      <c r="A12" s="3">
        <v>46090</v>
      </c>
      <c r="B12" s="2" t="s">
        <v>23</v>
      </c>
      <c r="C12" s="2" t="s">
        <v>112</v>
      </c>
      <c r="D12" s="2" t="s">
        <v>24</v>
      </c>
      <c r="E12" s="6">
        <v>0.45833333333333331</v>
      </c>
      <c r="F12" s="6">
        <v>0.4236111111111111</v>
      </c>
      <c r="G12" s="6">
        <f t="shared" si="1"/>
        <v>3.472222222222221E-2</v>
      </c>
      <c r="H12" s="6">
        <v>3.4722222222222224E-2</v>
      </c>
      <c r="I12" s="6"/>
      <c r="J12" s="6"/>
      <c r="K12" s="6"/>
      <c r="L12" s="6">
        <f t="shared" si="0"/>
        <v>3.4722222222222224E-2</v>
      </c>
      <c r="M12" s="2" t="s">
        <v>50</v>
      </c>
      <c r="N12" s="2"/>
      <c r="O12" s="2">
        <v>27</v>
      </c>
      <c r="P12" s="2">
        <v>88007</v>
      </c>
      <c r="Q12" s="2" t="s">
        <v>51</v>
      </c>
    </row>
    <row r="13" spans="1:17" x14ac:dyDescent="0.35">
      <c r="A13" s="3">
        <v>46091</v>
      </c>
      <c r="B13" s="2" t="s">
        <v>23</v>
      </c>
      <c r="C13" s="2" t="s">
        <v>112</v>
      </c>
      <c r="D13" s="2" t="s">
        <v>24</v>
      </c>
      <c r="E13" s="6">
        <v>0.41666666666666669</v>
      </c>
      <c r="F13" s="6">
        <v>0.41666666666666669</v>
      </c>
      <c r="G13" s="6">
        <f t="shared" si="1"/>
        <v>0</v>
      </c>
      <c r="H13" s="6"/>
      <c r="I13" s="6"/>
      <c r="J13" s="6"/>
      <c r="K13" s="6"/>
      <c r="L13" s="6">
        <f t="shared" si="0"/>
        <v>0</v>
      </c>
      <c r="M13" s="2"/>
      <c r="N13" s="2"/>
      <c r="O13" s="2">
        <v>28</v>
      </c>
      <c r="P13" s="2">
        <v>88007</v>
      </c>
      <c r="Q13" s="2" t="s">
        <v>52</v>
      </c>
    </row>
    <row r="14" spans="1:17" s="19" customFormat="1" x14ac:dyDescent="0.35">
      <c r="A14" s="16">
        <v>46092</v>
      </c>
      <c r="B14" s="17" t="s">
        <v>23</v>
      </c>
      <c r="C14" s="17" t="s">
        <v>113</v>
      </c>
      <c r="D14" s="17" t="s">
        <v>24</v>
      </c>
      <c r="E14" s="18">
        <v>1</v>
      </c>
      <c r="F14" s="18"/>
      <c r="G14" s="18">
        <f t="shared" si="1"/>
        <v>1</v>
      </c>
      <c r="H14" s="18"/>
      <c r="I14" s="18">
        <v>1</v>
      </c>
      <c r="J14" s="18"/>
      <c r="K14" s="18"/>
      <c r="L14" s="18">
        <f t="shared" si="0"/>
        <v>1</v>
      </c>
      <c r="M14" s="17" t="s">
        <v>122</v>
      </c>
      <c r="N14" s="17"/>
      <c r="O14" s="17">
        <v>29</v>
      </c>
      <c r="P14" s="17">
        <v>88007</v>
      </c>
      <c r="Q14" s="17"/>
    </row>
    <row r="15" spans="1:17" s="21" customFormat="1" x14ac:dyDescent="0.35">
      <c r="A15" s="20">
        <v>46093</v>
      </c>
      <c r="B15" s="12" t="s">
        <v>23</v>
      </c>
      <c r="C15" s="12" t="s">
        <v>113</v>
      </c>
      <c r="D15" s="12" t="s">
        <v>24</v>
      </c>
      <c r="E15" s="13">
        <v>1</v>
      </c>
      <c r="F15" s="13"/>
      <c r="G15" s="13">
        <f t="shared" si="1"/>
        <v>1</v>
      </c>
      <c r="H15" s="13"/>
      <c r="I15" s="13">
        <v>1</v>
      </c>
      <c r="J15" s="13"/>
      <c r="K15" s="13"/>
      <c r="L15" s="13">
        <f t="shared" si="0"/>
        <v>1</v>
      </c>
      <c r="M15" s="17" t="s">
        <v>122</v>
      </c>
      <c r="N15" s="12"/>
      <c r="O15" s="12">
        <v>30</v>
      </c>
      <c r="P15" s="12">
        <v>88007</v>
      </c>
      <c r="Q15" s="12"/>
    </row>
    <row r="16" spans="1:17" x14ac:dyDescent="0.35">
      <c r="A16" s="20">
        <v>46094</v>
      </c>
      <c r="B16" s="12" t="s">
        <v>23</v>
      </c>
      <c r="C16" s="12" t="s">
        <v>113</v>
      </c>
      <c r="D16" s="12" t="s">
        <v>24</v>
      </c>
      <c r="E16" s="13">
        <v>1</v>
      </c>
      <c r="F16" s="13"/>
      <c r="G16" s="13">
        <f t="shared" si="1"/>
        <v>1</v>
      </c>
      <c r="H16" s="13"/>
      <c r="I16" s="13">
        <v>1</v>
      </c>
      <c r="J16" s="13"/>
      <c r="K16" s="13"/>
      <c r="L16" s="13">
        <f t="shared" si="0"/>
        <v>1</v>
      </c>
      <c r="M16" s="17" t="s">
        <v>122</v>
      </c>
      <c r="N16" s="12"/>
      <c r="O16" s="12">
        <v>31</v>
      </c>
      <c r="P16" s="12">
        <v>88007</v>
      </c>
      <c r="Q16" s="12"/>
    </row>
    <row r="17" spans="1:17" x14ac:dyDescent="0.35">
      <c r="A17" s="20">
        <v>46095</v>
      </c>
      <c r="B17" s="12" t="s">
        <v>23</v>
      </c>
      <c r="C17" s="12" t="s">
        <v>113</v>
      </c>
      <c r="D17" s="12" t="s">
        <v>24</v>
      </c>
      <c r="E17" s="13">
        <v>1</v>
      </c>
      <c r="F17" s="13"/>
      <c r="G17" s="13">
        <f t="shared" si="1"/>
        <v>1</v>
      </c>
      <c r="H17" s="13"/>
      <c r="I17" s="13">
        <v>1</v>
      </c>
      <c r="J17" s="13"/>
      <c r="K17" s="13"/>
      <c r="L17" s="13">
        <f t="shared" si="0"/>
        <v>1</v>
      </c>
      <c r="M17" s="17" t="s">
        <v>122</v>
      </c>
      <c r="N17" s="12"/>
      <c r="O17" s="12">
        <v>32</v>
      </c>
      <c r="P17" s="12">
        <v>88007</v>
      </c>
      <c r="Q17" s="12"/>
    </row>
    <row r="18" spans="1:17" x14ac:dyDescent="0.35">
      <c r="A18" s="20">
        <v>46096</v>
      </c>
      <c r="B18" s="12" t="s">
        <v>23</v>
      </c>
      <c r="C18" s="12" t="s">
        <v>113</v>
      </c>
      <c r="D18" s="12" t="s">
        <v>24</v>
      </c>
      <c r="E18" s="13">
        <v>1</v>
      </c>
      <c r="F18" s="13"/>
      <c r="G18" s="13">
        <f t="shared" si="1"/>
        <v>1</v>
      </c>
      <c r="H18" s="13"/>
      <c r="I18" s="13">
        <v>1</v>
      </c>
      <c r="J18" s="13"/>
      <c r="K18" s="13"/>
      <c r="L18" s="13">
        <f t="shared" si="0"/>
        <v>1</v>
      </c>
      <c r="M18" s="17" t="s">
        <v>122</v>
      </c>
      <c r="N18" s="12"/>
      <c r="O18" s="12">
        <v>33</v>
      </c>
      <c r="P18" s="12">
        <v>88007</v>
      </c>
      <c r="Q18" s="12"/>
    </row>
    <row r="19" spans="1:17" x14ac:dyDescent="0.35">
      <c r="A19" s="20">
        <v>46097</v>
      </c>
      <c r="B19" s="12" t="s">
        <v>23</v>
      </c>
      <c r="C19" s="12" t="s">
        <v>113</v>
      </c>
      <c r="D19" s="12" t="s">
        <v>24</v>
      </c>
      <c r="E19" s="13">
        <v>1</v>
      </c>
      <c r="F19" s="13"/>
      <c r="G19" s="13">
        <f t="shared" si="1"/>
        <v>1</v>
      </c>
      <c r="H19" s="13"/>
      <c r="I19" s="13">
        <v>1</v>
      </c>
      <c r="J19" s="13"/>
      <c r="K19" s="13"/>
      <c r="L19" s="13">
        <f t="shared" si="0"/>
        <v>1</v>
      </c>
      <c r="M19" s="17" t="s">
        <v>122</v>
      </c>
      <c r="N19" s="12"/>
      <c r="O19" s="12">
        <v>34</v>
      </c>
      <c r="P19" s="12">
        <v>88007</v>
      </c>
      <c r="Q19" s="12"/>
    </row>
    <row r="20" spans="1:17" x14ac:dyDescent="0.35">
      <c r="A20" s="20">
        <v>46098</v>
      </c>
      <c r="B20" s="12" t="s">
        <v>23</v>
      </c>
      <c r="C20" s="12" t="s">
        <v>113</v>
      </c>
      <c r="D20" s="12" t="s">
        <v>24</v>
      </c>
      <c r="E20" s="13">
        <v>1</v>
      </c>
      <c r="F20" s="13"/>
      <c r="G20" s="13">
        <f t="shared" si="1"/>
        <v>1</v>
      </c>
      <c r="H20" s="13"/>
      <c r="I20" s="13">
        <v>1</v>
      </c>
      <c r="J20" s="13"/>
      <c r="K20" s="13"/>
      <c r="L20" s="13">
        <f t="shared" si="0"/>
        <v>1</v>
      </c>
      <c r="M20" s="17" t="s">
        <v>122</v>
      </c>
      <c r="N20" s="12"/>
      <c r="O20" s="12">
        <v>35</v>
      </c>
      <c r="P20" s="12">
        <v>88007</v>
      </c>
      <c r="Q20" s="12"/>
    </row>
    <row r="21" spans="1:17" x14ac:dyDescent="0.35">
      <c r="A21" s="20">
        <v>46099</v>
      </c>
      <c r="B21" s="12" t="s">
        <v>23</v>
      </c>
      <c r="C21" s="12" t="s">
        <v>113</v>
      </c>
      <c r="D21" s="12" t="s">
        <v>24</v>
      </c>
      <c r="E21" s="13">
        <v>1</v>
      </c>
      <c r="F21" s="13"/>
      <c r="G21" s="13">
        <f t="shared" si="1"/>
        <v>1</v>
      </c>
      <c r="H21" s="13"/>
      <c r="I21" s="13">
        <v>1</v>
      </c>
      <c r="J21" s="13"/>
      <c r="K21" s="13"/>
      <c r="L21" s="13">
        <f t="shared" si="0"/>
        <v>1</v>
      </c>
      <c r="M21" s="17" t="s">
        <v>122</v>
      </c>
      <c r="N21" s="12"/>
      <c r="O21" s="12">
        <v>36</v>
      </c>
      <c r="P21" s="12">
        <v>88007</v>
      </c>
      <c r="Q21" s="12"/>
    </row>
    <row r="22" spans="1:17" x14ac:dyDescent="0.35">
      <c r="A22" s="3">
        <v>46100</v>
      </c>
      <c r="B22" s="2" t="s">
        <v>23</v>
      </c>
      <c r="C22" s="2" t="s">
        <v>112</v>
      </c>
      <c r="D22" s="2" t="s">
        <v>24</v>
      </c>
      <c r="E22" s="6">
        <v>0.45833333333333331</v>
      </c>
      <c r="F22" s="6">
        <v>0.33333333333333331</v>
      </c>
      <c r="G22" s="6">
        <f t="shared" si="1"/>
        <v>0.125</v>
      </c>
      <c r="H22" s="6">
        <v>0.125</v>
      </c>
      <c r="I22" s="6"/>
      <c r="J22" s="6"/>
      <c r="K22" s="6"/>
      <c r="L22" s="6">
        <f t="shared" si="0"/>
        <v>0.125</v>
      </c>
      <c r="M22" s="2" t="s">
        <v>53</v>
      </c>
      <c r="N22" s="2"/>
      <c r="O22" s="2">
        <v>37</v>
      </c>
      <c r="P22" s="2">
        <v>88007</v>
      </c>
      <c r="Q22" s="2"/>
    </row>
    <row r="23" spans="1:17" x14ac:dyDescent="0.35">
      <c r="A23" s="3">
        <v>46101</v>
      </c>
      <c r="B23" s="2" t="s">
        <v>23</v>
      </c>
      <c r="C23" s="2" t="s">
        <v>112</v>
      </c>
      <c r="D23" s="2" t="s">
        <v>24</v>
      </c>
      <c r="E23" s="6">
        <v>0.41666666666666669</v>
      </c>
      <c r="F23" s="6"/>
      <c r="G23" s="6">
        <f t="shared" si="1"/>
        <v>0.41666666666666669</v>
      </c>
      <c r="H23" s="6"/>
      <c r="I23" s="6"/>
      <c r="J23" s="6"/>
      <c r="K23" s="6">
        <v>0.41666666666666669</v>
      </c>
      <c r="L23" s="6">
        <f t="shared" si="0"/>
        <v>0.41666666666666669</v>
      </c>
      <c r="M23" s="2" t="s">
        <v>54</v>
      </c>
      <c r="N23" s="2"/>
      <c r="O23" s="2">
        <v>38</v>
      </c>
      <c r="P23" s="2">
        <v>88007</v>
      </c>
      <c r="Q23" s="2"/>
    </row>
    <row r="24" spans="1:17" x14ac:dyDescent="0.35">
      <c r="A24" s="3">
        <v>46102</v>
      </c>
      <c r="B24" s="2" t="s">
        <v>23</v>
      </c>
      <c r="C24" s="2" t="s">
        <v>112</v>
      </c>
      <c r="D24" s="2" t="s">
        <v>24</v>
      </c>
      <c r="E24" s="6">
        <v>0.45833333333333331</v>
      </c>
      <c r="F24" s="6">
        <v>0.45833333333333331</v>
      </c>
      <c r="G24" s="6">
        <f t="shared" si="1"/>
        <v>0</v>
      </c>
      <c r="H24" s="6"/>
      <c r="I24" s="6"/>
      <c r="J24" s="6"/>
      <c r="K24" s="6"/>
      <c r="L24" s="6">
        <f t="shared" si="0"/>
        <v>0</v>
      </c>
      <c r="M24" s="2"/>
      <c r="N24" s="2"/>
      <c r="O24" s="2">
        <v>39</v>
      </c>
      <c r="P24" s="2">
        <v>88007</v>
      </c>
      <c r="Q24" s="2" t="s">
        <v>55</v>
      </c>
    </row>
    <row r="25" spans="1:17" x14ac:dyDescent="0.35">
      <c r="A25" s="3">
        <v>46103</v>
      </c>
      <c r="B25" s="2" t="s">
        <v>23</v>
      </c>
      <c r="C25" s="2" t="s">
        <v>112</v>
      </c>
      <c r="D25" s="2" t="s">
        <v>24</v>
      </c>
      <c r="E25" s="6">
        <v>0.45833333333333331</v>
      </c>
      <c r="F25" s="6">
        <v>0.45833333333333331</v>
      </c>
      <c r="G25" s="6">
        <f t="shared" si="1"/>
        <v>0</v>
      </c>
      <c r="H25" s="6"/>
      <c r="I25" s="6"/>
      <c r="J25" s="6"/>
      <c r="K25" s="6"/>
      <c r="L25" s="6">
        <f t="shared" si="0"/>
        <v>0</v>
      </c>
      <c r="M25" s="2"/>
      <c r="N25" s="2"/>
      <c r="O25" s="2">
        <v>40</v>
      </c>
      <c r="P25" s="2">
        <v>88007</v>
      </c>
      <c r="Q25" s="2" t="s">
        <v>56</v>
      </c>
    </row>
    <row r="26" spans="1:17" x14ac:dyDescent="0.35">
      <c r="A26" s="3">
        <v>46104</v>
      </c>
      <c r="B26" s="2" t="s">
        <v>23</v>
      </c>
      <c r="C26" s="2" t="s">
        <v>112</v>
      </c>
      <c r="D26" s="2" t="s">
        <v>24</v>
      </c>
      <c r="E26" s="6">
        <v>0.50347222222222221</v>
      </c>
      <c r="F26" s="6">
        <v>0.50347222222222221</v>
      </c>
      <c r="G26" s="6">
        <f t="shared" si="1"/>
        <v>0</v>
      </c>
      <c r="H26" s="6"/>
      <c r="I26" s="6"/>
      <c r="J26" s="6"/>
      <c r="K26" s="6"/>
      <c r="L26" s="6">
        <f t="shared" si="0"/>
        <v>0</v>
      </c>
      <c r="M26" s="2"/>
      <c r="N26" s="2"/>
      <c r="O26" s="2">
        <v>41</v>
      </c>
      <c r="P26" s="2">
        <v>88007</v>
      </c>
      <c r="Q26" s="2" t="s">
        <v>57</v>
      </c>
    </row>
    <row r="27" spans="1:17" x14ac:dyDescent="0.35">
      <c r="A27" s="3">
        <v>46105</v>
      </c>
      <c r="B27" s="2" t="s">
        <v>23</v>
      </c>
      <c r="C27" s="2" t="s">
        <v>113</v>
      </c>
      <c r="D27" s="2" t="s">
        <v>24</v>
      </c>
      <c r="E27" s="6">
        <v>1.0208333333333333</v>
      </c>
      <c r="F27" s="6">
        <v>0.70833333333333337</v>
      </c>
      <c r="G27" s="6">
        <f t="shared" si="1"/>
        <v>0.31249999999999989</v>
      </c>
      <c r="H27" s="6"/>
      <c r="I27" s="6"/>
      <c r="J27" s="6"/>
      <c r="K27" s="6">
        <v>0.3125</v>
      </c>
      <c r="L27" s="6">
        <f t="shared" si="0"/>
        <v>0.3125</v>
      </c>
      <c r="M27" s="2" t="s">
        <v>63</v>
      </c>
      <c r="N27" s="2"/>
      <c r="O27" s="2">
        <v>42</v>
      </c>
      <c r="P27" s="2">
        <v>88007</v>
      </c>
      <c r="Q27" s="2" t="s">
        <v>58</v>
      </c>
    </row>
    <row r="28" spans="1:17" x14ac:dyDescent="0.35">
      <c r="A28" s="3">
        <v>46106</v>
      </c>
      <c r="B28" s="2" t="s">
        <v>23</v>
      </c>
      <c r="C28" s="2" t="s">
        <v>113</v>
      </c>
      <c r="D28" s="2" t="s">
        <v>24</v>
      </c>
      <c r="E28" s="6">
        <v>1</v>
      </c>
      <c r="F28" s="6">
        <v>1</v>
      </c>
      <c r="G28" s="6">
        <f t="shared" si="1"/>
        <v>0</v>
      </c>
      <c r="H28" s="6"/>
      <c r="I28" s="6"/>
      <c r="J28" s="6"/>
      <c r="K28" s="6"/>
      <c r="L28" s="6">
        <f t="shared" si="0"/>
        <v>0</v>
      </c>
      <c r="M28" s="2"/>
      <c r="N28" s="2"/>
      <c r="O28" s="2">
        <v>43</v>
      </c>
      <c r="P28" s="2">
        <v>88007</v>
      </c>
      <c r="Q28" s="2" t="s">
        <v>59</v>
      </c>
    </row>
    <row r="29" spans="1:17" x14ac:dyDescent="0.35">
      <c r="A29" s="3">
        <v>46107</v>
      </c>
      <c r="B29" s="2" t="s">
        <v>23</v>
      </c>
      <c r="C29" s="2" t="s">
        <v>113</v>
      </c>
      <c r="D29" s="2" t="s">
        <v>24</v>
      </c>
      <c r="E29" s="6">
        <v>0.95833333333333337</v>
      </c>
      <c r="F29" s="6">
        <v>0.95833333333333337</v>
      </c>
      <c r="G29" s="6">
        <f t="shared" si="1"/>
        <v>0</v>
      </c>
      <c r="H29" s="6"/>
      <c r="I29" s="6"/>
      <c r="J29" s="6"/>
      <c r="K29" s="6"/>
      <c r="L29" s="6">
        <f t="shared" si="0"/>
        <v>0</v>
      </c>
      <c r="M29" s="2"/>
      <c r="N29" s="2"/>
      <c r="O29" s="2">
        <v>44</v>
      </c>
      <c r="P29" s="2">
        <v>88007</v>
      </c>
      <c r="Q29" s="2"/>
    </row>
    <row r="30" spans="1:17" x14ac:dyDescent="0.35">
      <c r="A30" s="3">
        <v>46108</v>
      </c>
      <c r="B30" s="2" t="s">
        <v>23</v>
      </c>
      <c r="C30" s="2" t="s">
        <v>113</v>
      </c>
      <c r="D30" s="2" t="s">
        <v>24</v>
      </c>
      <c r="E30" s="6">
        <v>1</v>
      </c>
      <c r="F30" s="6">
        <v>1</v>
      </c>
      <c r="G30" s="6">
        <f t="shared" si="1"/>
        <v>0</v>
      </c>
      <c r="H30" s="6"/>
      <c r="I30" s="6"/>
      <c r="J30" s="6"/>
      <c r="K30" s="6"/>
      <c r="L30" s="6">
        <f t="shared" si="0"/>
        <v>0</v>
      </c>
      <c r="M30" s="2"/>
      <c r="N30" s="2"/>
      <c r="O30" s="2">
        <v>45</v>
      </c>
      <c r="P30" s="2">
        <v>88007</v>
      </c>
      <c r="Q30" s="2" t="s">
        <v>60</v>
      </c>
    </row>
    <row r="31" spans="1:17" x14ac:dyDescent="0.35">
      <c r="A31" s="3">
        <v>46109</v>
      </c>
      <c r="B31" s="2" t="s">
        <v>23</v>
      </c>
      <c r="C31" s="2" t="s">
        <v>113</v>
      </c>
      <c r="D31" s="2" t="s">
        <v>24</v>
      </c>
      <c r="E31" s="6">
        <v>0.95833333333333337</v>
      </c>
      <c r="F31" s="6">
        <v>0.75</v>
      </c>
      <c r="G31" s="6">
        <f t="shared" si="1"/>
        <v>0.20833333333333337</v>
      </c>
      <c r="H31" s="6"/>
      <c r="I31" s="6"/>
      <c r="J31" s="6"/>
      <c r="K31" s="6">
        <v>0.20833333333333334</v>
      </c>
      <c r="L31" s="6">
        <f t="shared" si="0"/>
        <v>0.20833333333333334</v>
      </c>
      <c r="M31" s="2" t="s">
        <v>61</v>
      </c>
      <c r="N31" s="2"/>
      <c r="O31" s="2">
        <v>46</v>
      </c>
      <c r="P31" s="2">
        <v>88007</v>
      </c>
      <c r="Q31" s="2"/>
    </row>
    <row r="32" spans="1:17" x14ac:dyDescent="0.35">
      <c r="A32" s="3">
        <v>46110</v>
      </c>
      <c r="B32" s="2" t="s">
        <v>23</v>
      </c>
      <c r="C32" s="2" t="s">
        <v>113</v>
      </c>
      <c r="D32" s="2" t="s">
        <v>24</v>
      </c>
      <c r="E32" s="6">
        <v>0.91666666666666663</v>
      </c>
      <c r="F32" s="6">
        <v>0.34027777777777779</v>
      </c>
      <c r="G32" s="6">
        <f t="shared" si="1"/>
        <v>0.57638888888888884</v>
      </c>
      <c r="H32" s="6">
        <v>0.47916666666666669</v>
      </c>
      <c r="I32" s="6"/>
      <c r="J32" s="6"/>
      <c r="K32" s="6">
        <v>9.7222222222222224E-2</v>
      </c>
      <c r="L32" s="6">
        <f t="shared" si="0"/>
        <v>0.57638888888888895</v>
      </c>
      <c r="M32" s="2" t="s">
        <v>98</v>
      </c>
      <c r="N32" s="2"/>
      <c r="O32" s="2">
        <v>47</v>
      </c>
      <c r="P32" s="2">
        <v>88007</v>
      </c>
      <c r="Q32" s="2"/>
    </row>
    <row r="33" spans="1:17" x14ac:dyDescent="0.35">
      <c r="A33" s="3">
        <v>46111</v>
      </c>
      <c r="B33" s="2" t="s">
        <v>23</v>
      </c>
      <c r="C33" s="2" t="s">
        <v>113</v>
      </c>
      <c r="D33" s="2" t="s">
        <v>24</v>
      </c>
      <c r="E33" s="6">
        <v>1</v>
      </c>
      <c r="F33" s="6">
        <v>0.70833333333333337</v>
      </c>
      <c r="G33" s="6">
        <f t="shared" si="1"/>
        <v>0.29166666666666663</v>
      </c>
      <c r="H33" s="6">
        <v>0.1875</v>
      </c>
      <c r="I33" s="6"/>
      <c r="J33" s="6"/>
      <c r="K33" s="6">
        <v>0.10416666666666667</v>
      </c>
      <c r="L33" s="6">
        <f t="shared" si="0"/>
        <v>0.29166666666666669</v>
      </c>
      <c r="M33" s="2" t="s">
        <v>99</v>
      </c>
      <c r="N33" s="2"/>
      <c r="O33" s="2">
        <v>48</v>
      </c>
      <c r="P33" s="2">
        <v>88007</v>
      </c>
      <c r="Q33" s="2" t="s">
        <v>64</v>
      </c>
    </row>
    <row r="34" spans="1:17" x14ac:dyDescent="0.35">
      <c r="A34" s="3">
        <v>46112</v>
      </c>
      <c r="B34" s="2" t="s">
        <v>23</v>
      </c>
      <c r="C34" s="2" t="s">
        <v>113</v>
      </c>
      <c r="D34" s="2" t="s">
        <v>24</v>
      </c>
      <c r="E34" s="6">
        <v>1</v>
      </c>
      <c r="F34" s="6">
        <v>0.69097222222222221</v>
      </c>
      <c r="G34" s="6">
        <f t="shared" si="1"/>
        <v>0.30902777777777779</v>
      </c>
      <c r="H34" s="6"/>
      <c r="I34" s="6"/>
      <c r="J34" s="6">
        <v>7.9861111111111105E-2</v>
      </c>
      <c r="K34" s="6">
        <v>0.22916666666666666</v>
      </c>
      <c r="L34" s="6">
        <f t="shared" si="0"/>
        <v>0.30902777777777779</v>
      </c>
      <c r="M34" s="2" t="s">
        <v>100</v>
      </c>
      <c r="N34" s="2"/>
      <c r="O34" s="2">
        <v>49</v>
      </c>
      <c r="P34" s="2">
        <v>88007</v>
      </c>
      <c r="Q34" s="2"/>
    </row>
    <row r="35" spans="1:17" x14ac:dyDescent="0.35">
      <c r="A35" s="2"/>
      <c r="B35" s="2"/>
      <c r="C35" s="2"/>
      <c r="D35" s="2"/>
      <c r="E35" s="6"/>
      <c r="F35" s="6"/>
      <c r="G35" s="6"/>
      <c r="H35" s="6"/>
      <c r="I35" s="6"/>
      <c r="J35" s="6"/>
      <c r="K35" s="6"/>
      <c r="L35" s="6"/>
      <c r="M35" s="2"/>
      <c r="N35" s="2"/>
      <c r="O35" s="2" t="s">
        <v>62</v>
      </c>
      <c r="P35" s="2"/>
      <c r="Q35" s="2"/>
    </row>
    <row r="36" spans="1:17" ht="16" customHeight="1" x14ac:dyDescent="0.35">
      <c r="A36" s="2"/>
      <c r="B36" s="2"/>
      <c r="C36" s="2"/>
      <c r="D36" s="2"/>
      <c r="E36" s="22" t="s">
        <v>42</v>
      </c>
      <c r="F36" s="13" t="s">
        <v>42</v>
      </c>
      <c r="G36" s="13" t="s">
        <v>42</v>
      </c>
      <c r="H36" s="13" t="s">
        <v>42</v>
      </c>
      <c r="I36" s="13" t="s">
        <v>42</v>
      </c>
      <c r="J36" s="13" t="s">
        <v>42</v>
      </c>
      <c r="K36" s="13" t="s">
        <v>42</v>
      </c>
      <c r="L36" s="6"/>
      <c r="M36" s="2"/>
      <c r="N36" s="2"/>
      <c r="O36" s="2"/>
      <c r="P36" s="2"/>
      <c r="Q36" s="2"/>
    </row>
    <row r="37" spans="1:17" ht="16" customHeight="1" x14ac:dyDescent="0.35">
      <c r="A37" s="2"/>
      <c r="B37" s="2"/>
      <c r="C37" s="2"/>
      <c r="D37" s="2"/>
      <c r="E37" s="13">
        <f t="shared" ref="E37:K37" si="2">SUM(E4:E34)</f>
        <v>22.295138888888889</v>
      </c>
      <c r="F37" s="13">
        <f t="shared" si="2"/>
        <v>11.177083333333334</v>
      </c>
      <c r="G37" s="15">
        <f t="shared" si="2"/>
        <v>11.118055555555555</v>
      </c>
      <c r="H37" s="13">
        <f t="shared" si="2"/>
        <v>1.2638888888888888</v>
      </c>
      <c r="I37" s="13">
        <f t="shared" si="2"/>
        <v>8</v>
      </c>
      <c r="J37" s="13">
        <f t="shared" si="2"/>
        <v>7.9861111111111105E-2</v>
      </c>
      <c r="K37" s="13">
        <f t="shared" si="2"/>
        <v>1.7743055555555558</v>
      </c>
      <c r="L37" s="6"/>
      <c r="M37" s="2"/>
      <c r="N37" s="2"/>
      <c r="O37" s="2"/>
      <c r="P37" s="2"/>
      <c r="Q37" s="2"/>
    </row>
    <row r="39" spans="1:17" ht="18.5" x14ac:dyDescent="0.45">
      <c r="A39" s="156" t="s">
        <v>135</v>
      </c>
      <c r="B39" s="157"/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</row>
    <row r="40" spans="1:17" x14ac:dyDescent="0.35">
      <c r="A40" s="7"/>
      <c r="B40" s="7"/>
      <c r="C40" s="7"/>
      <c r="D40" s="7"/>
      <c r="I40" s="7"/>
      <c r="J40" s="7"/>
      <c r="K40" s="7"/>
      <c r="M40" s="7"/>
    </row>
    <row r="41" spans="1:17" x14ac:dyDescent="0.35">
      <c r="A41" s="25" t="s">
        <v>88</v>
      </c>
      <c r="B41" s="6"/>
      <c r="C41" s="6"/>
      <c r="D41" s="6">
        <f>SUM(E4:E35)</f>
        <v>22.295138888888889</v>
      </c>
      <c r="E41" s="6"/>
      <c r="F41" s="6">
        <f t="shared" ref="F41:F47" si="3">D41/22</f>
        <v>1.013415404040404</v>
      </c>
      <c r="G41" s="6" t="s">
        <v>89</v>
      </c>
      <c r="I41" s="7"/>
      <c r="J41" s="7"/>
      <c r="K41" s="7"/>
      <c r="M41" s="7"/>
    </row>
    <row r="42" spans="1:17" x14ac:dyDescent="0.35">
      <c r="A42" s="25" t="s">
        <v>90</v>
      </c>
      <c r="B42" s="6"/>
      <c r="C42" s="6"/>
      <c r="D42" s="6">
        <f>SUM(F4:F35)</f>
        <v>11.177083333333334</v>
      </c>
      <c r="E42" s="6"/>
      <c r="F42" s="6">
        <f t="shared" si="3"/>
        <v>0.50804924242424243</v>
      </c>
      <c r="G42" s="6" t="s">
        <v>89</v>
      </c>
      <c r="I42" s="7"/>
      <c r="J42" s="7"/>
      <c r="K42" s="7"/>
      <c r="M42" s="7"/>
    </row>
    <row r="43" spans="1:17" x14ac:dyDescent="0.35">
      <c r="A43" s="25" t="s">
        <v>91</v>
      </c>
      <c r="B43" s="6"/>
      <c r="C43" s="6"/>
      <c r="D43" s="6">
        <f>SUM(G4:G35)</f>
        <v>11.118055555555555</v>
      </c>
      <c r="E43" s="6"/>
      <c r="F43" s="6">
        <f t="shared" si="3"/>
        <v>0.50536616161616166</v>
      </c>
      <c r="G43" s="6" t="s">
        <v>89</v>
      </c>
      <c r="I43" s="7"/>
      <c r="J43" s="7"/>
      <c r="K43" s="7"/>
      <c r="M43" s="7"/>
    </row>
    <row r="44" spans="1:17" x14ac:dyDescent="0.35">
      <c r="A44" s="25" t="s">
        <v>153</v>
      </c>
      <c r="B44" s="6"/>
      <c r="C44" s="6"/>
      <c r="D44" s="6">
        <f>SUM(H4:H35)</f>
        <v>1.2638888888888888</v>
      </c>
      <c r="E44" s="6"/>
      <c r="F44" s="6">
        <f t="shared" si="3"/>
        <v>5.7449494949494945E-2</v>
      </c>
      <c r="G44" s="6" t="s">
        <v>89</v>
      </c>
      <c r="I44" s="7"/>
      <c r="J44" s="7"/>
      <c r="K44" s="7"/>
      <c r="M44" s="7"/>
    </row>
    <row r="45" spans="1:17" x14ac:dyDescent="0.35">
      <c r="A45" s="25" t="s">
        <v>152</v>
      </c>
      <c r="B45" s="6"/>
      <c r="C45" s="6"/>
      <c r="D45" s="6">
        <f>SUM(I6:I35)</f>
        <v>8</v>
      </c>
      <c r="E45" s="6"/>
      <c r="F45" s="6">
        <f t="shared" si="3"/>
        <v>0.36363636363636365</v>
      </c>
      <c r="G45" s="6" t="s">
        <v>89</v>
      </c>
      <c r="I45" s="7"/>
      <c r="J45" s="7"/>
      <c r="K45" s="7"/>
      <c r="M45" s="7"/>
    </row>
    <row r="46" spans="1:17" x14ac:dyDescent="0.35">
      <c r="A46" s="25" t="s">
        <v>92</v>
      </c>
      <c r="B46" s="6"/>
      <c r="C46" s="6"/>
      <c r="D46" s="6">
        <f>SUM(J6:J35)</f>
        <v>7.9861111111111105E-2</v>
      </c>
      <c r="E46" s="6"/>
      <c r="F46" s="6">
        <f t="shared" si="3"/>
        <v>3.6300505050505046E-3</v>
      </c>
      <c r="G46" s="6" t="s">
        <v>89</v>
      </c>
      <c r="I46" s="7"/>
      <c r="J46" s="7"/>
      <c r="K46" s="7"/>
      <c r="M46" s="7"/>
    </row>
    <row r="47" spans="1:17" x14ac:dyDescent="0.35">
      <c r="A47" s="25" t="s">
        <v>93</v>
      </c>
      <c r="B47" s="6"/>
      <c r="C47" s="6"/>
      <c r="D47" s="6">
        <f>SUM(K6:K35)</f>
        <v>1.7743055555555558</v>
      </c>
      <c r="E47" s="6"/>
      <c r="F47" s="6">
        <f t="shared" si="3"/>
        <v>8.0650252525252542E-2</v>
      </c>
      <c r="G47" s="6" t="s">
        <v>89</v>
      </c>
      <c r="I47" s="7"/>
      <c r="J47" s="7"/>
      <c r="K47" s="7"/>
      <c r="M47" s="7"/>
    </row>
    <row r="48" spans="1:17" x14ac:dyDescent="0.35">
      <c r="A48" s="7"/>
      <c r="B48" s="7"/>
      <c r="C48" s="7"/>
      <c r="D48" s="7"/>
      <c r="I48" s="7"/>
      <c r="J48" s="7"/>
      <c r="K48" s="7"/>
      <c r="M48" s="7"/>
    </row>
    <row r="49" spans="1:13" x14ac:dyDescent="0.35">
      <c r="A49" s="26" t="s">
        <v>94</v>
      </c>
      <c r="B49" s="7"/>
      <c r="C49" s="7"/>
      <c r="D49" s="7">
        <f>SUM(F4:F35)</f>
        <v>11.177083333333334</v>
      </c>
      <c r="I49" s="7"/>
      <c r="J49" s="7"/>
      <c r="K49" s="7"/>
      <c r="M49" s="7"/>
    </row>
  </sheetData>
  <mergeCells count="2">
    <mergeCell ref="A1:Q1"/>
    <mergeCell ref="A39:Q39"/>
  </mergeCells>
  <conditionalFormatting sqref="G4:G37">
    <cfRule type="expression" dxfId="5" priority="1">
      <formula>G4&gt;4</formula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55"/>
  <sheetViews>
    <sheetView topLeftCell="A18" workbookViewId="0">
      <selection activeCell="E39" sqref="E39"/>
    </sheetView>
  </sheetViews>
  <sheetFormatPr defaultRowHeight="14.5" x14ac:dyDescent="0.35"/>
  <cols>
    <col min="1" max="1" width="14" customWidth="1"/>
    <col min="2" max="2" width="29.08984375" customWidth="1"/>
    <col min="3" max="4" width="18" customWidth="1"/>
    <col min="5" max="5" width="15.08984375" style="7" customWidth="1"/>
    <col min="6" max="6" width="19.81640625" style="7" customWidth="1"/>
    <col min="7" max="7" width="16.81640625" style="7" customWidth="1"/>
    <col min="8" max="8" width="19.1796875" style="7" customWidth="1"/>
    <col min="9" max="9" width="21.08984375" style="7" customWidth="1"/>
    <col min="10" max="10" width="16" customWidth="1"/>
    <col min="11" max="11" width="18" style="7" customWidth="1"/>
    <col min="12" max="12" width="16" style="7" customWidth="1"/>
    <col min="13" max="13" width="52.26953125" customWidth="1"/>
    <col min="14" max="14" width="18" customWidth="1"/>
    <col min="15" max="15" width="12" customWidth="1"/>
    <col min="16" max="16" width="18" customWidth="1"/>
    <col min="17" max="17" width="55.453125" customWidth="1"/>
  </cols>
  <sheetData>
    <row r="1" spans="1:17" ht="21" x14ac:dyDescent="0.35">
      <c r="A1" s="152" t="s">
        <v>16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</row>
    <row r="3" spans="1:17" x14ac:dyDescent="0.35">
      <c r="A3" s="1" t="s">
        <v>0</v>
      </c>
      <c r="B3" s="1" t="s">
        <v>1</v>
      </c>
      <c r="C3" s="1" t="s">
        <v>2</v>
      </c>
      <c r="D3" s="1" t="s">
        <v>3</v>
      </c>
      <c r="E3" s="5" t="s">
        <v>4</v>
      </c>
      <c r="F3" s="5" t="s">
        <v>5</v>
      </c>
      <c r="G3" s="5" t="s">
        <v>6</v>
      </c>
      <c r="H3" s="5" t="s">
        <v>146</v>
      </c>
      <c r="I3" s="5" t="s">
        <v>145</v>
      </c>
      <c r="J3" s="1" t="s">
        <v>7</v>
      </c>
      <c r="K3" s="5" t="s">
        <v>8</v>
      </c>
      <c r="L3" s="5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</row>
    <row r="4" spans="1:17" x14ac:dyDescent="0.35">
      <c r="A4" s="3">
        <v>46113</v>
      </c>
      <c r="B4" s="2" t="s">
        <v>23</v>
      </c>
      <c r="C4" s="2" t="s">
        <v>113</v>
      </c>
      <c r="D4" s="2" t="s">
        <v>24</v>
      </c>
      <c r="E4" s="6">
        <v>0.95833333333333337</v>
      </c>
      <c r="F4" s="6">
        <v>0.41666666666666669</v>
      </c>
      <c r="G4" s="6">
        <f t="shared" ref="G4:G33" si="0">E4-F4</f>
        <v>0.54166666666666674</v>
      </c>
      <c r="H4" s="6">
        <v>0.45833333333333331</v>
      </c>
      <c r="I4" s="6"/>
      <c r="J4" s="4">
        <v>8.3333333333333329E-2</v>
      </c>
      <c r="K4" s="6"/>
      <c r="L4" s="6">
        <f t="shared" ref="L4:L33" si="1">SUM(H4:K4)</f>
        <v>0.54166666666666663</v>
      </c>
      <c r="M4" s="2" t="s">
        <v>125</v>
      </c>
      <c r="N4" s="2"/>
      <c r="O4" s="2">
        <v>50</v>
      </c>
      <c r="P4" s="2">
        <v>88007</v>
      </c>
      <c r="Q4" s="2" t="s">
        <v>68</v>
      </c>
    </row>
    <row r="5" spans="1:17" x14ac:dyDescent="0.35">
      <c r="A5" s="3">
        <v>46114</v>
      </c>
      <c r="B5" s="2" t="s">
        <v>23</v>
      </c>
      <c r="C5" s="2" t="s">
        <v>113</v>
      </c>
      <c r="D5" s="2" t="s">
        <v>24</v>
      </c>
      <c r="E5" s="6">
        <v>0.93055555555555558</v>
      </c>
      <c r="F5" s="6">
        <v>0.33333333333333331</v>
      </c>
      <c r="G5" s="6">
        <f t="shared" si="0"/>
        <v>0.59722222222222232</v>
      </c>
      <c r="H5" s="6">
        <v>0.59722222222222221</v>
      </c>
      <c r="I5" s="6"/>
      <c r="J5" s="2"/>
      <c r="K5" s="6"/>
      <c r="L5" s="6">
        <f t="shared" si="1"/>
        <v>0.59722222222222221</v>
      </c>
      <c r="M5" s="2" t="s">
        <v>126</v>
      </c>
      <c r="N5" s="2"/>
      <c r="O5" s="2">
        <v>51</v>
      </c>
      <c r="P5" s="2">
        <v>88007</v>
      </c>
      <c r="Q5" s="2"/>
    </row>
    <row r="6" spans="1:17" x14ac:dyDescent="0.35">
      <c r="A6" s="8">
        <v>46115</v>
      </c>
      <c r="B6" s="9" t="s">
        <v>23</v>
      </c>
      <c r="C6" s="9" t="s">
        <v>112</v>
      </c>
      <c r="D6" s="9" t="s">
        <v>24</v>
      </c>
      <c r="E6" s="10">
        <v>0.45833333333333331</v>
      </c>
      <c r="F6" s="10"/>
      <c r="G6" s="10">
        <f t="shared" si="0"/>
        <v>0.45833333333333331</v>
      </c>
      <c r="H6" s="10">
        <v>0.45833333333333331</v>
      </c>
      <c r="I6" s="10"/>
      <c r="J6" s="9"/>
      <c r="K6" s="10"/>
      <c r="L6" s="10">
        <f t="shared" si="1"/>
        <v>0.45833333333333331</v>
      </c>
      <c r="M6" s="9" t="s">
        <v>120</v>
      </c>
      <c r="N6" s="9"/>
      <c r="O6" s="9">
        <v>52</v>
      </c>
      <c r="P6" s="2">
        <v>88007</v>
      </c>
      <c r="Q6" s="9"/>
    </row>
    <row r="7" spans="1:17" x14ac:dyDescent="0.35">
      <c r="A7" s="8">
        <v>46116</v>
      </c>
      <c r="B7" s="9" t="s">
        <v>23</v>
      </c>
      <c r="C7" s="9" t="s">
        <v>112</v>
      </c>
      <c r="D7" s="9" t="s">
        <v>24</v>
      </c>
      <c r="E7" s="10">
        <v>0.45833333333333331</v>
      </c>
      <c r="F7" s="10"/>
      <c r="G7" s="10">
        <f t="shared" si="0"/>
        <v>0.45833333333333331</v>
      </c>
      <c r="H7" s="10">
        <v>0.45833333333333331</v>
      </c>
      <c r="I7" s="10"/>
      <c r="J7" s="9"/>
      <c r="K7" s="10"/>
      <c r="L7" s="10">
        <f t="shared" si="1"/>
        <v>0.45833333333333331</v>
      </c>
      <c r="M7" s="9" t="s">
        <v>120</v>
      </c>
      <c r="N7" s="9"/>
      <c r="O7" s="9">
        <v>53</v>
      </c>
      <c r="P7" s="2">
        <v>88007</v>
      </c>
      <c r="Q7" s="9"/>
    </row>
    <row r="8" spans="1:17" x14ac:dyDescent="0.35">
      <c r="A8" s="8">
        <v>46117</v>
      </c>
      <c r="B8" s="9" t="s">
        <v>23</v>
      </c>
      <c r="C8" s="9" t="s">
        <v>112</v>
      </c>
      <c r="D8" s="9" t="s">
        <v>24</v>
      </c>
      <c r="E8" s="10">
        <v>0.45833333333333331</v>
      </c>
      <c r="F8" s="10"/>
      <c r="G8" s="10">
        <f t="shared" si="0"/>
        <v>0.45833333333333331</v>
      </c>
      <c r="H8" s="10">
        <v>0.45833333333333331</v>
      </c>
      <c r="I8" s="10"/>
      <c r="J8" s="9"/>
      <c r="K8" s="10"/>
      <c r="L8" s="10">
        <f t="shared" si="1"/>
        <v>0.45833333333333331</v>
      </c>
      <c r="M8" s="9" t="s">
        <v>120</v>
      </c>
      <c r="N8" s="9"/>
      <c r="O8" s="9">
        <v>54</v>
      </c>
      <c r="P8" s="2">
        <v>88007</v>
      </c>
      <c r="Q8" s="9"/>
    </row>
    <row r="9" spans="1:17" x14ac:dyDescent="0.35">
      <c r="A9" s="3">
        <v>46118</v>
      </c>
      <c r="B9" s="2" t="s">
        <v>23</v>
      </c>
      <c r="C9" s="2" t="s">
        <v>112</v>
      </c>
      <c r="D9" s="2" t="s">
        <v>24</v>
      </c>
      <c r="E9" s="6">
        <v>0.45833333333333331</v>
      </c>
      <c r="F9" s="6">
        <v>0.16666666666666666</v>
      </c>
      <c r="G9" s="6">
        <f t="shared" si="0"/>
        <v>0.29166666666666663</v>
      </c>
      <c r="H9" s="6">
        <v>0.29166666666666669</v>
      </c>
      <c r="I9" s="6"/>
      <c r="J9" s="2"/>
      <c r="K9" s="6"/>
      <c r="L9" s="6">
        <f t="shared" si="1"/>
        <v>0.29166666666666669</v>
      </c>
      <c r="M9" s="23" t="s">
        <v>65</v>
      </c>
      <c r="N9" s="2"/>
      <c r="O9" s="2">
        <v>55</v>
      </c>
      <c r="P9" s="2">
        <v>88007</v>
      </c>
      <c r="Q9" s="2"/>
    </row>
    <row r="10" spans="1:17" x14ac:dyDescent="0.35">
      <c r="A10" s="3">
        <v>46119</v>
      </c>
      <c r="B10" s="2" t="s">
        <v>23</v>
      </c>
      <c r="C10" s="2" t="s">
        <v>113</v>
      </c>
      <c r="D10" s="2" t="s">
        <v>24</v>
      </c>
      <c r="E10" s="6">
        <v>1.0416666666666667</v>
      </c>
      <c r="F10" s="6">
        <v>0.78472222222222221</v>
      </c>
      <c r="G10" s="6">
        <f t="shared" si="0"/>
        <v>0.25694444444444453</v>
      </c>
      <c r="H10" s="6">
        <v>0.19444444444444445</v>
      </c>
      <c r="I10" s="6"/>
      <c r="J10" s="4">
        <v>6.25E-2</v>
      </c>
      <c r="K10" s="6"/>
      <c r="L10" s="6">
        <f t="shared" si="1"/>
        <v>0.25694444444444442</v>
      </c>
      <c r="M10" s="2" t="s">
        <v>69</v>
      </c>
      <c r="N10" s="2"/>
      <c r="O10" s="2">
        <v>56</v>
      </c>
      <c r="P10" s="2">
        <v>88007</v>
      </c>
      <c r="Q10" s="2"/>
    </row>
    <row r="11" spans="1:17" x14ac:dyDescent="0.35">
      <c r="A11" s="3">
        <v>46120</v>
      </c>
      <c r="B11" s="2" t="s">
        <v>23</v>
      </c>
      <c r="C11" s="2" t="s">
        <v>113</v>
      </c>
      <c r="D11" s="2" t="s">
        <v>24</v>
      </c>
      <c r="E11" s="6">
        <v>0.91666666666666663</v>
      </c>
      <c r="F11" s="6">
        <v>0.80277777777777781</v>
      </c>
      <c r="G11" s="6">
        <f t="shared" si="0"/>
        <v>0.11388888888888882</v>
      </c>
      <c r="H11" s="6"/>
      <c r="I11" s="6"/>
      <c r="J11" s="2"/>
      <c r="K11" s="6">
        <v>0.11388888888888889</v>
      </c>
      <c r="L11" s="6">
        <f t="shared" si="1"/>
        <v>0.11388888888888889</v>
      </c>
      <c r="M11" s="2" t="s">
        <v>70</v>
      </c>
      <c r="N11" s="2"/>
      <c r="O11" s="2">
        <v>57</v>
      </c>
      <c r="P11" s="2">
        <v>88007</v>
      </c>
      <c r="Q11" s="2" t="s">
        <v>72</v>
      </c>
    </row>
    <row r="12" spans="1:17" x14ac:dyDescent="0.35">
      <c r="A12" s="3">
        <v>46121</v>
      </c>
      <c r="B12" s="2" t="s">
        <v>23</v>
      </c>
      <c r="C12" s="2" t="s">
        <v>113</v>
      </c>
      <c r="D12" s="2" t="s">
        <v>24</v>
      </c>
      <c r="E12" s="6">
        <v>1.0208333333333333</v>
      </c>
      <c r="F12" s="6">
        <v>1.0208333333333333</v>
      </c>
      <c r="G12" s="6">
        <f t="shared" si="0"/>
        <v>0</v>
      </c>
      <c r="H12" s="6"/>
      <c r="I12" s="6"/>
      <c r="J12" s="2"/>
      <c r="K12" s="6"/>
      <c r="L12" s="6">
        <f t="shared" si="1"/>
        <v>0</v>
      </c>
      <c r="M12" s="2"/>
      <c r="N12" s="2"/>
      <c r="O12" s="2">
        <v>58</v>
      </c>
      <c r="P12" s="2">
        <v>88007</v>
      </c>
      <c r="Q12" s="2" t="s">
        <v>71</v>
      </c>
    </row>
    <row r="13" spans="1:17" x14ac:dyDescent="0.35">
      <c r="A13" s="3">
        <v>46122</v>
      </c>
      <c r="B13" s="2" t="s">
        <v>23</v>
      </c>
      <c r="C13" s="2" t="s">
        <v>113</v>
      </c>
      <c r="D13" s="2" t="s">
        <v>24</v>
      </c>
      <c r="E13" s="6">
        <v>0.91666666666666663</v>
      </c>
      <c r="F13" s="6">
        <v>0.70833333333333337</v>
      </c>
      <c r="G13" s="6">
        <f t="shared" si="0"/>
        <v>0.20833333333333326</v>
      </c>
      <c r="H13" s="6"/>
      <c r="I13" s="6"/>
      <c r="J13" s="2"/>
      <c r="K13" s="6">
        <v>0.20833333333333334</v>
      </c>
      <c r="L13" s="6">
        <f t="shared" si="1"/>
        <v>0.20833333333333334</v>
      </c>
      <c r="M13" s="2" t="s">
        <v>123</v>
      </c>
      <c r="N13" s="2"/>
      <c r="O13" s="2">
        <v>59</v>
      </c>
      <c r="P13" s="2">
        <v>88007</v>
      </c>
      <c r="Q13" s="2" t="s">
        <v>67</v>
      </c>
    </row>
    <row r="14" spans="1:17" x14ac:dyDescent="0.35">
      <c r="A14" s="3">
        <v>46123</v>
      </c>
      <c r="B14" s="2" t="s">
        <v>23</v>
      </c>
      <c r="C14" s="2" t="s">
        <v>113</v>
      </c>
      <c r="D14" s="2" t="s">
        <v>24</v>
      </c>
      <c r="E14" s="6">
        <v>1</v>
      </c>
      <c r="F14" s="6">
        <v>0.5</v>
      </c>
      <c r="G14" s="6">
        <f t="shared" si="0"/>
        <v>0.5</v>
      </c>
      <c r="H14" s="6">
        <v>0.5</v>
      </c>
      <c r="I14" s="6"/>
      <c r="J14" s="2"/>
      <c r="K14" s="6"/>
      <c r="L14" s="6">
        <f t="shared" si="1"/>
        <v>0.5</v>
      </c>
      <c r="M14" s="2" t="s">
        <v>124</v>
      </c>
      <c r="N14" s="2"/>
      <c r="O14" s="2">
        <v>60</v>
      </c>
      <c r="P14" s="2">
        <v>88007</v>
      </c>
      <c r="Q14" s="2" t="s">
        <v>66</v>
      </c>
    </row>
    <row r="15" spans="1:17" x14ac:dyDescent="0.35">
      <c r="A15" s="3">
        <v>46124</v>
      </c>
      <c r="B15" s="2" t="s">
        <v>23</v>
      </c>
      <c r="C15" s="2" t="s">
        <v>113</v>
      </c>
      <c r="D15" s="2" t="s">
        <v>24</v>
      </c>
      <c r="E15" s="6">
        <v>1</v>
      </c>
      <c r="F15" s="6">
        <v>0.33333333333333331</v>
      </c>
      <c r="G15" s="6">
        <f t="shared" si="0"/>
        <v>0.66666666666666674</v>
      </c>
      <c r="H15" s="6">
        <v>0.5</v>
      </c>
      <c r="I15" s="6"/>
      <c r="J15" s="2"/>
      <c r="K15" s="6">
        <v>0.16666666666666666</v>
      </c>
      <c r="L15" s="6">
        <f t="shared" si="1"/>
        <v>0.66666666666666663</v>
      </c>
      <c r="M15" s="2" t="s">
        <v>130</v>
      </c>
      <c r="N15" s="2"/>
      <c r="O15" s="2">
        <v>61</v>
      </c>
      <c r="P15" s="2">
        <v>88007</v>
      </c>
      <c r="Q15" s="2"/>
    </row>
    <row r="16" spans="1:17" x14ac:dyDescent="0.35">
      <c r="A16" s="3">
        <v>46125</v>
      </c>
      <c r="B16" s="2" t="s">
        <v>23</v>
      </c>
      <c r="C16" s="2" t="s">
        <v>113</v>
      </c>
      <c r="D16" s="2" t="s">
        <v>24</v>
      </c>
      <c r="E16" s="6">
        <v>0.96527777777777779</v>
      </c>
      <c r="F16" s="6">
        <v>0.63194444444444442</v>
      </c>
      <c r="G16" s="6">
        <f t="shared" si="0"/>
        <v>0.33333333333333337</v>
      </c>
      <c r="H16" s="6"/>
      <c r="I16" s="6"/>
      <c r="J16" s="2"/>
      <c r="K16" s="6">
        <v>0.33333333333333331</v>
      </c>
      <c r="L16" s="6">
        <f t="shared" si="1"/>
        <v>0.33333333333333331</v>
      </c>
      <c r="M16" s="2" t="s">
        <v>73</v>
      </c>
      <c r="N16" s="2"/>
      <c r="O16" s="2">
        <v>62</v>
      </c>
      <c r="P16" s="2">
        <v>88007</v>
      </c>
      <c r="Q16" s="2"/>
    </row>
    <row r="17" spans="1:17" x14ac:dyDescent="0.35">
      <c r="A17" s="3">
        <v>46126</v>
      </c>
      <c r="B17" s="2" t="s">
        <v>23</v>
      </c>
      <c r="C17" s="2" t="s">
        <v>113</v>
      </c>
      <c r="D17" s="2" t="s">
        <v>24</v>
      </c>
      <c r="E17" s="6">
        <v>1</v>
      </c>
      <c r="F17" s="6">
        <v>0.73958333333333337</v>
      </c>
      <c r="G17" s="6">
        <f t="shared" si="0"/>
        <v>0.26041666666666663</v>
      </c>
      <c r="H17" s="6"/>
      <c r="I17" s="6"/>
      <c r="J17" s="2"/>
      <c r="K17" s="6">
        <v>0.26041666666666669</v>
      </c>
      <c r="L17" s="6">
        <f t="shared" si="1"/>
        <v>0.26041666666666669</v>
      </c>
      <c r="M17" s="2" t="s">
        <v>74</v>
      </c>
      <c r="N17" s="2"/>
      <c r="O17" s="2">
        <v>63</v>
      </c>
      <c r="P17" s="2">
        <v>88007</v>
      </c>
      <c r="Q17" s="2" t="s">
        <v>75</v>
      </c>
    </row>
    <row r="18" spans="1:17" x14ac:dyDescent="0.35">
      <c r="A18" s="3">
        <v>46127</v>
      </c>
      <c r="B18" s="2" t="s">
        <v>23</v>
      </c>
      <c r="C18" s="2" t="s">
        <v>113</v>
      </c>
      <c r="D18" s="2" t="s">
        <v>24</v>
      </c>
      <c r="E18" s="6">
        <v>0.91666666666666663</v>
      </c>
      <c r="F18" s="6">
        <v>0.29166666666666669</v>
      </c>
      <c r="G18" s="6">
        <f t="shared" si="0"/>
        <v>0.625</v>
      </c>
      <c r="H18" s="6">
        <v>0.45833333333333331</v>
      </c>
      <c r="I18" s="6"/>
      <c r="J18" s="2"/>
      <c r="K18" s="6">
        <v>0.16666666666666666</v>
      </c>
      <c r="L18" s="6">
        <f t="shared" si="1"/>
        <v>0.625</v>
      </c>
      <c r="M18" s="2" t="s">
        <v>131</v>
      </c>
      <c r="N18" s="2"/>
      <c r="O18" s="2">
        <v>64</v>
      </c>
      <c r="P18" s="2">
        <v>88007</v>
      </c>
      <c r="Q18" s="2"/>
    </row>
    <row r="19" spans="1:17" x14ac:dyDescent="0.35">
      <c r="A19" s="3">
        <v>46128</v>
      </c>
      <c r="B19" s="2" t="s">
        <v>23</v>
      </c>
      <c r="C19" s="2" t="s">
        <v>113</v>
      </c>
      <c r="D19" s="2" t="s">
        <v>24</v>
      </c>
      <c r="E19" s="6">
        <v>0.95833333333333337</v>
      </c>
      <c r="F19" s="6">
        <v>0.79166666666666663</v>
      </c>
      <c r="G19" s="6">
        <f t="shared" si="0"/>
        <v>0.16666666666666674</v>
      </c>
      <c r="H19" s="6"/>
      <c r="I19" s="6"/>
      <c r="J19" s="2"/>
      <c r="K19" s="6">
        <v>0.16666666666666666</v>
      </c>
      <c r="L19" s="6">
        <f t="shared" si="1"/>
        <v>0.16666666666666666</v>
      </c>
      <c r="M19" s="2" t="s">
        <v>76</v>
      </c>
      <c r="N19" s="2"/>
      <c r="O19" s="2">
        <v>65</v>
      </c>
      <c r="P19" s="2">
        <v>88007</v>
      </c>
      <c r="Q19" s="2"/>
    </row>
    <row r="20" spans="1:17" x14ac:dyDescent="0.35">
      <c r="A20" s="3">
        <v>46129</v>
      </c>
      <c r="B20" s="2" t="s">
        <v>23</v>
      </c>
      <c r="C20" s="2" t="s">
        <v>113</v>
      </c>
      <c r="D20" s="2" t="s">
        <v>24</v>
      </c>
      <c r="E20" s="6">
        <v>1</v>
      </c>
      <c r="F20" s="6">
        <v>1</v>
      </c>
      <c r="G20" s="6">
        <f t="shared" si="0"/>
        <v>0</v>
      </c>
      <c r="H20" s="6"/>
      <c r="I20" s="6"/>
      <c r="J20" s="2"/>
      <c r="K20" s="6"/>
      <c r="L20" s="6">
        <f t="shared" si="1"/>
        <v>0</v>
      </c>
      <c r="M20" s="2" t="s">
        <v>127</v>
      </c>
      <c r="N20" s="2"/>
      <c r="O20" s="2">
        <v>66</v>
      </c>
      <c r="P20" s="2">
        <v>88007</v>
      </c>
      <c r="Q20" s="2" t="s">
        <v>77</v>
      </c>
    </row>
    <row r="21" spans="1:17" x14ac:dyDescent="0.35">
      <c r="A21" s="3">
        <v>46130</v>
      </c>
      <c r="B21" s="2" t="s">
        <v>23</v>
      </c>
      <c r="C21" s="2" t="s">
        <v>113</v>
      </c>
      <c r="D21" s="2" t="s">
        <v>24</v>
      </c>
      <c r="E21" s="6">
        <v>0.95833333333333337</v>
      </c>
      <c r="F21" s="6">
        <v>0.875</v>
      </c>
      <c r="G21" s="6">
        <f t="shared" si="0"/>
        <v>8.333333333333337E-2</v>
      </c>
      <c r="H21" s="6"/>
      <c r="I21" s="6"/>
      <c r="J21" s="2"/>
      <c r="K21" s="6">
        <v>8.3333333333333329E-2</v>
      </c>
      <c r="L21" s="6">
        <f t="shared" si="1"/>
        <v>8.3333333333333329E-2</v>
      </c>
      <c r="M21" s="2" t="s">
        <v>78</v>
      </c>
      <c r="N21" s="2"/>
      <c r="O21" s="2">
        <v>67</v>
      </c>
      <c r="P21" s="2">
        <v>88007</v>
      </c>
      <c r="Q21" s="2"/>
    </row>
    <row r="22" spans="1:17" x14ac:dyDescent="0.35">
      <c r="A22" s="3">
        <v>46131</v>
      </c>
      <c r="B22" s="2" t="s">
        <v>23</v>
      </c>
      <c r="C22" s="2" t="s">
        <v>113</v>
      </c>
      <c r="D22" s="2" t="s">
        <v>24</v>
      </c>
      <c r="E22" s="6">
        <v>1</v>
      </c>
      <c r="F22" s="6">
        <v>1</v>
      </c>
      <c r="G22" s="6">
        <f t="shared" si="0"/>
        <v>0</v>
      </c>
      <c r="H22" s="6"/>
      <c r="I22" s="6"/>
      <c r="J22" s="2"/>
      <c r="K22" s="6"/>
      <c r="L22" s="6">
        <f t="shared" si="1"/>
        <v>0</v>
      </c>
      <c r="M22" s="2" t="s">
        <v>79</v>
      </c>
      <c r="N22" s="2"/>
      <c r="O22" s="2">
        <v>68</v>
      </c>
      <c r="P22" s="2">
        <v>88007</v>
      </c>
      <c r="Q22" s="2" t="s">
        <v>128</v>
      </c>
    </row>
    <row r="23" spans="1:17" x14ac:dyDescent="0.35">
      <c r="A23" s="3">
        <v>46132</v>
      </c>
      <c r="B23" s="2" t="s">
        <v>23</v>
      </c>
      <c r="C23" s="2" t="s">
        <v>113</v>
      </c>
      <c r="D23" s="2" t="s">
        <v>24</v>
      </c>
      <c r="E23" s="6">
        <v>0.91666666666666663</v>
      </c>
      <c r="F23" s="6">
        <v>0.78472222222222221</v>
      </c>
      <c r="G23" s="6">
        <f t="shared" si="0"/>
        <v>0.13194444444444442</v>
      </c>
      <c r="H23" s="6">
        <v>0.13194444444444445</v>
      </c>
      <c r="I23" s="6"/>
      <c r="J23" s="2"/>
      <c r="K23" s="6"/>
      <c r="L23" s="6">
        <f t="shared" si="1"/>
        <v>0.13194444444444445</v>
      </c>
      <c r="M23" s="2" t="s">
        <v>129</v>
      </c>
      <c r="N23" s="2"/>
      <c r="O23" s="2">
        <v>69</v>
      </c>
      <c r="P23" s="2">
        <v>88007</v>
      </c>
      <c r="Q23" s="2"/>
    </row>
    <row r="24" spans="1:17" x14ac:dyDescent="0.35">
      <c r="A24" s="3">
        <v>46133</v>
      </c>
      <c r="B24" s="2" t="s">
        <v>23</v>
      </c>
      <c r="C24" s="2" t="s">
        <v>113</v>
      </c>
      <c r="D24" s="2" t="s">
        <v>24</v>
      </c>
      <c r="E24" s="6">
        <v>0.95833333333333337</v>
      </c>
      <c r="F24" s="6">
        <v>0.86458333333333337</v>
      </c>
      <c r="G24" s="6">
        <f t="shared" si="0"/>
        <v>9.375E-2</v>
      </c>
      <c r="H24" s="6">
        <v>9.375E-2</v>
      </c>
      <c r="I24" s="6"/>
      <c r="J24" s="2"/>
      <c r="K24" s="6"/>
      <c r="L24" s="6">
        <f t="shared" si="1"/>
        <v>9.375E-2</v>
      </c>
      <c r="M24" s="2" t="s">
        <v>83</v>
      </c>
      <c r="N24" s="2"/>
      <c r="O24" s="2">
        <v>70</v>
      </c>
      <c r="P24" s="2">
        <v>88007</v>
      </c>
      <c r="Q24" s="2"/>
    </row>
    <row r="25" spans="1:17" x14ac:dyDescent="0.35">
      <c r="A25" s="3">
        <v>46134</v>
      </c>
      <c r="B25" s="2" t="s">
        <v>23</v>
      </c>
      <c r="C25" s="2" t="s">
        <v>113</v>
      </c>
      <c r="D25" s="2" t="s">
        <v>24</v>
      </c>
      <c r="E25" s="6">
        <v>0.9375</v>
      </c>
      <c r="F25" s="6">
        <v>0.9375</v>
      </c>
      <c r="G25" s="6">
        <f t="shared" si="0"/>
        <v>0</v>
      </c>
      <c r="H25" s="6"/>
      <c r="I25" s="6"/>
      <c r="J25" s="2"/>
      <c r="K25" s="6"/>
      <c r="L25" s="6">
        <f t="shared" si="1"/>
        <v>0</v>
      </c>
      <c r="M25" s="2"/>
      <c r="N25" s="2"/>
      <c r="O25" s="2">
        <v>71</v>
      </c>
      <c r="P25" s="2">
        <v>88007</v>
      </c>
      <c r="Q25" s="2"/>
    </row>
    <row r="26" spans="1:17" x14ac:dyDescent="0.35">
      <c r="A26" s="3">
        <v>46135</v>
      </c>
      <c r="B26" s="2" t="s">
        <v>23</v>
      </c>
      <c r="C26" s="2" t="s">
        <v>113</v>
      </c>
      <c r="D26" s="2" t="s">
        <v>24</v>
      </c>
      <c r="E26" s="6">
        <v>0.93402777777777779</v>
      </c>
      <c r="F26" s="6">
        <v>0.59375</v>
      </c>
      <c r="G26" s="6">
        <f t="shared" si="0"/>
        <v>0.34027777777777779</v>
      </c>
      <c r="H26" s="6">
        <v>0.34027777777777779</v>
      </c>
      <c r="I26" s="6"/>
      <c r="J26" s="2"/>
      <c r="K26" s="6"/>
      <c r="L26" s="6">
        <f t="shared" si="1"/>
        <v>0.34027777777777779</v>
      </c>
      <c r="M26" s="2" t="s">
        <v>81</v>
      </c>
      <c r="N26" s="2"/>
      <c r="O26" s="2">
        <v>72</v>
      </c>
      <c r="P26" s="2">
        <v>88007</v>
      </c>
      <c r="Q26" s="2"/>
    </row>
    <row r="27" spans="1:17" x14ac:dyDescent="0.35">
      <c r="A27" s="3">
        <v>46136</v>
      </c>
      <c r="B27" s="2" t="s">
        <v>23</v>
      </c>
      <c r="C27" s="2" t="s">
        <v>113</v>
      </c>
      <c r="D27" s="2" t="s">
        <v>24</v>
      </c>
      <c r="E27" s="6">
        <v>0.97222222222222221</v>
      </c>
      <c r="F27" s="6">
        <v>0.92361111111111116</v>
      </c>
      <c r="G27" s="6">
        <f t="shared" si="0"/>
        <v>4.8611111111111049E-2</v>
      </c>
      <c r="H27" s="6"/>
      <c r="I27" s="6"/>
      <c r="J27" s="2"/>
      <c r="K27" s="6">
        <v>4.8611111111111112E-2</v>
      </c>
      <c r="L27" s="6">
        <f t="shared" si="1"/>
        <v>4.8611111111111112E-2</v>
      </c>
      <c r="M27" s="2" t="s">
        <v>82</v>
      </c>
      <c r="N27" s="2"/>
      <c r="O27" s="2">
        <v>73</v>
      </c>
      <c r="P27" s="2">
        <v>88007</v>
      </c>
      <c r="Q27" s="2"/>
    </row>
    <row r="28" spans="1:17" x14ac:dyDescent="0.35">
      <c r="A28" s="3">
        <v>46137</v>
      </c>
      <c r="B28" s="2" t="s">
        <v>23</v>
      </c>
      <c r="C28" s="2" t="s">
        <v>113</v>
      </c>
      <c r="D28" s="2" t="s">
        <v>24</v>
      </c>
      <c r="E28" s="6">
        <v>1</v>
      </c>
      <c r="F28" s="6">
        <v>1</v>
      </c>
      <c r="G28" s="6">
        <f t="shared" si="0"/>
        <v>0</v>
      </c>
      <c r="H28" s="6"/>
      <c r="I28" s="6"/>
      <c r="J28" s="2"/>
      <c r="K28" s="6"/>
      <c r="L28" s="6">
        <f t="shared" si="1"/>
        <v>0</v>
      </c>
      <c r="M28" s="2"/>
      <c r="N28" s="2"/>
      <c r="O28" s="2">
        <v>74</v>
      </c>
      <c r="P28" s="2">
        <v>88007</v>
      </c>
      <c r="Q28" s="2" t="s">
        <v>77</v>
      </c>
    </row>
    <row r="29" spans="1:17" x14ac:dyDescent="0.35">
      <c r="A29" s="3">
        <v>46138</v>
      </c>
      <c r="B29" s="2" t="s">
        <v>23</v>
      </c>
      <c r="C29" s="2" t="s">
        <v>113</v>
      </c>
      <c r="D29" s="2" t="s">
        <v>24</v>
      </c>
      <c r="E29" s="6">
        <v>1</v>
      </c>
      <c r="F29" s="6">
        <v>1</v>
      </c>
      <c r="G29" s="6">
        <f t="shared" si="0"/>
        <v>0</v>
      </c>
      <c r="H29" s="6"/>
      <c r="I29" s="6"/>
      <c r="J29" s="2"/>
      <c r="K29" s="6"/>
      <c r="L29" s="6">
        <f t="shared" si="1"/>
        <v>0</v>
      </c>
      <c r="M29" s="2"/>
      <c r="N29" s="2"/>
      <c r="O29" s="2">
        <v>75</v>
      </c>
      <c r="P29" s="2">
        <v>88007</v>
      </c>
      <c r="Q29" s="2" t="s">
        <v>77</v>
      </c>
    </row>
    <row r="30" spans="1:17" x14ac:dyDescent="0.35">
      <c r="A30" s="3">
        <v>46139</v>
      </c>
      <c r="B30" s="2" t="s">
        <v>23</v>
      </c>
      <c r="C30" s="2" t="s">
        <v>112</v>
      </c>
      <c r="D30" s="2" t="s">
        <v>24</v>
      </c>
      <c r="E30" s="6">
        <v>0.5</v>
      </c>
      <c r="F30" s="6">
        <v>0.5</v>
      </c>
      <c r="G30" s="6">
        <f t="shared" si="0"/>
        <v>0</v>
      </c>
      <c r="H30" s="6"/>
      <c r="I30" s="6"/>
      <c r="J30" s="2"/>
      <c r="K30" s="6"/>
      <c r="L30" s="6">
        <f t="shared" si="1"/>
        <v>0</v>
      </c>
      <c r="M30" s="2"/>
      <c r="N30" s="2"/>
      <c r="O30" s="2">
        <v>76</v>
      </c>
      <c r="P30" s="2">
        <v>88007</v>
      </c>
      <c r="Q30" s="2"/>
    </row>
    <row r="31" spans="1:17" x14ac:dyDescent="0.35">
      <c r="A31" s="3">
        <v>46140</v>
      </c>
      <c r="B31" s="2" t="s">
        <v>23</v>
      </c>
      <c r="C31" s="2" t="s">
        <v>112</v>
      </c>
      <c r="D31" s="2" t="s">
        <v>24</v>
      </c>
      <c r="E31" s="6">
        <v>0.45833333333333331</v>
      </c>
      <c r="F31" s="6">
        <v>0.35416666666666669</v>
      </c>
      <c r="G31" s="6">
        <f t="shared" si="0"/>
        <v>0.10416666666666663</v>
      </c>
      <c r="H31" s="6">
        <v>0.10416666666666667</v>
      </c>
      <c r="I31" s="6"/>
      <c r="J31" s="2"/>
      <c r="K31" s="6"/>
      <c r="L31" s="6">
        <f t="shared" si="1"/>
        <v>0.10416666666666667</v>
      </c>
      <c r="M31" s="2" t="s">
        <v>84</v>
      </c>
      <c r="N31" s="2"/>
      <c r="O31" s="2">
        <v>77</v>
      </c>
      <c r="P31" s="2">
        <v>88007</v>
      </c>
      <c r="Q31" s="2"/>
    </row>
    <row r="32" spans="1:17" x14ac:dyDescent="0.35">
      <c r="A32" s="3">
        <v>46141</v>
      </c>
      <c r="B32" s="2" t="s">
        <v>23</v>
      </c>
      <c r="C32" s="2" t="s">
        <v>113</v>
      </c>
      <c r="D32" s="2" t="s">
        <v>24</v>
      </c>
      <c r="E32" s="6">
        <v>0.97916666666666663</v>
      </c>
      <c r="F32" s="6">
        <v>0.72916666666666663</v>
      </c>
      <c r="G32" s="6">
        <f t="shared" si="0"/>
        <v>0.25</v>
      </c>
      <c r="H32" s="6">
        <v>6.25E-2</v>
      </c>
      <c r="I32" s="6">
        <v>0.1875</v>
      </c>
      <c r="J32" s="2"/>
      <c r="K32" s="6"/>
      <c r="L32" s="6">
        <f t="shared" si="1"/>
        <v>0.25</v>
      </c>
      <c r="M32" s="2" t="s">
        <v>85</v>
      </c>
      <c r="N32" s="2"/>
      <c r="O32" s="2">
        <v>78</v>
      </c>
      <c r="P32" s="2">
        <v>88007</v>
      </c>
      <c r="Q32" s="2"/>
    </row>
    <row r="33" spans="1:17" x14ac:dyDescent="0.35">
      <c r="A33" s="3">
        <v>46142</v>
      </c>
      <c r="B33" s="2" t="s">
        <v>23</v>
      </c>
      <c r="C33" s="2" t="s">
        <v>112</v>
      </c>
      <c r="D33" s="2" t="s">
        <v>24</v>
      </c>
      <c r="E33" s="6">
        <v>0.5</v>
      </c>
      <c r="F33" s="6">
        <v>0.5</v>
      </c>
      <c r="G33" s="6">
        <f t="shared" si="0"/>
        <v>0</v>
      </c>
      <c r="H33" s="6"/>
      <c r="I33" s="6"/>
      <c r="J33" s="2"/>
      <c r="K33" s="6"/>
      <c r="L33" s="6">
        <f t="shared" si="1"/>
        <v>0</v>
      </c>
      <c r="M33" s="2" t="s">
        <v>86</v>
      </c>
      <c r="N33" s="2"/>
      <c r="O33" s="2">
        <v>79</v>
      </c>
      <c r="P33" s="2">
        <v>88007</v>
      </c>
      <c r="Q33" s="2"/>
    </row>
    <row r="34" spans="1:17" x14ac:dyDescent="0.35">
      <c r="A34" s="3"/>
      <c r="B34" s="2"/>
      <c r="C34" s="2"/>
      <c r="D34" s="2"/>
      <c r="E34" s="13" t="s">
        <v>42</v>
      </c>
      <c r="F34" s="13" t="s">
        <v>42</v>
      </c>
      <c r="G34" s="13" t="s">
        <v>42</v>
      </c>
      <c r="H34" s="13" t="s">
        <v>42</v>
      </c>
      <c r="I34" s="13" t="s">
        <v>42</v>
      </c>
      <c r="J34" s="12" t="s">
        <v>42</v>
      </c>
      <c r="K34" s="13" t="s">
        <v>42</v>
      </c>
      <c r="L34" s="6"/>
      <c r="M34" s="2"/>
      <c r="N34" s="2"/>
      <c r="O34" s="2"/>
      <c r="P34" s="2"/>
      <c r="Q34" s="2"/>
    </row>
    <row r="35" spans="1:17" x14ac:dyDescent="0.35">
      <c r="A35" s="2"/>
      <c r="B35" s="2"/>
      <c r="C35" s="2"/>
      <c r="D35" s="2"/>
      <c r="E35" s="13">
        <f t="shared" ref="E35:K35" si="2">SUM(E4:E33)</f>
        <v>25.572916666666671</v>
      </c>
      <c r="F35" s="13">
        <f t="shared" si="2"/>
        <v>18.584027777777777</v>
      </c>
      <c r="G35" s="15">
        <f t="shared" si="2"/>
        <v>6.9888888888888898</v>
      </c>
      <c r="H35" s="13">
        <f t="shared" si="2"/>
        <v>5.1076388888888893</v>
      </c>
      <c r="I35" s="13">
        <f t="shared" si="2"/>
        <v>0.1875</v>
      </c>
      <c r="J35" s="24">
        <f t="shared" si="2"/>
        <v>0.14583333333333331</v>
      </c>
      <c r="K35" s="13">
        <f t="shared" si="2"/>
        <v>1.5479166666666668</v>
      </c>
      <c r="L35" s="6"/>
      <c r="M35" s="2"/>
      <c r="N35" s="2"/>
      <c r="O35" s="2"/>
      <c r="P35" s="2"/>
      <c r="Q35" s="2"/>
    </row>
    <row r="36" spans="1:17" ht="20" customHeight="1" x14ac:dyDescent="0.35"/>
    <row r="37" spans="1:17" ht="18.5" x14ac:dyDescent="0.45">
      <c r="A37" s="154" t="s">
        <v>134</v>
      </c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</row>
    <row r="38" spans="1:17" x14ac:dyDescent="0.35">
      <c r="A38" s="7"/>
      <c r="B38" s="7"/>
      <c r="C38" s="7"/>
      <c r="D38" s="7"/>
      <c r="J38" s="7"/>
      <c r="M38" s="7"/>
    </row>
    <row r="39" spans="1:17" x14ac:dyDescent="0.35">
      <c r="A39" s="25" t="s">
        <v>88</v>
      </c>
      <c r="B39" s="6"/>
      <c r="C39" s="6"/>
      <c r="D39" s="6">
        <f>SUM(E4:E33)</f>
        <v>25.572916666666671</v>
      </c>
      <c r="E39" s="6"/>
      <c r="F39" s="6">
        <f t="shared" ref="F39:F45" si="3">D39/22</f>
        <v>1.1624053030303032</v>
      </c>
      <c r="G39" s="6" t="s">
        <v>89</v>
      </c>
      <c r="J39" s="7"/>
      <c r="M39" s="7"/>
    </row>
    <row r="40" spans="1:17" x14ac:dyDescent="0.35">
      <c r="A40" s="25" t="s">
        <v>90</v>
      </c>
      <c r="B40" s="6"/>
      <c r="C40" s="6"/>
      <c r="D40" s="6">
        <f>SUM(F4:F33)</f>
        <v>18.584027777777777</v>
      </c>
      <c r="E40" s="6"/>
      <c r="F40" s="6">
        <f t="shared" si="3"/>
        <v>0.84472853535353531</v>
      </c>
      <c r="G40" s="6" t="s">
        <v>89</v>
      </c>
      <c r="J40" s="7"/>
      <c r="M40" s="7"/>
    </row>
    <row r="41" spans="1:17" x14ac:dyDescent="0.35">
      <c r="A41" s="25" t="s">
        <v>91</v>
      </c>
      <c r="B41" s="6"/>
      <c r="C41" s="6"/>
      <c r="D41" s="6">
        <f>SUM(G4:G33)</f>
        <v>6.9888888888888898</v>
      </c>
      <c r="E41" s="6"/>
      <c r="F41" s="6">
        <f t="shared" si="3"/>
        <v>0.31767676767676772</v>
      </c>
      <c r="G41" s="6" t="s">
        <v>89</v>
      </c>
      <c r="J41" s="7"/>
      <c r="M41" s="7"/>
    </row>
    <row r="42" spans="1:17" x14ac:dyDescent="0.35">
      <c r="A42" s="25" t="s">
        <v>153</v>
      </c>
      <c r="B42" s="6"/>
      <c r="C42" s="6"/>
      <c r="D42" s="6">
        <f>SUM(H4:H33)</f>
        <v>5.1076388888888893</v>
      </c>
      <c r="E42" s="6"/>
      <c r="F42" s="6">
        <f t="shared" si="3"/>
        <v>0.23216540404040406</v>
      </c>
      <c r="G42" s="6" t="s">
        <v>89</v>
      </c>
      <c r="J42" s="7"/>
      <c r="M42" s="7"/>
    </row>
    <row r="43" spans="1:17" x14ac:dyDescent="0.35">
      <c r="A43" s="25" t="s">
        <v>262</v>
      </c>
      <c r="B43" s="6"/>
      <c r="C43" s="6"/>
      <c r="D43" s="6">
        <f>SUM(I4:I33)</f>
        <v>0.1875</v>
      </c>
      <c r="E43" s="6"/>
      <c r="F43" s="6">
        <f t="shared" si="3"/>
        <v>8.5227272727272721E-3</v>
      </c>
      <c r="G43" s="6" t="s">
        <v>89</v>
      </c>
      <c r="J43" s="7"/>
      <c r="M43" s="7"/>
    </row>
    <row r="44" spans="1:17" x14ac:dyDescent="0.35">
      <c r="A44" s="25" t="s">
        <v>92</v>
      </c>
      <c r="B44" s="6"/>
      <c r="C44" s="6"/>
      <c r="D44" s="6">
        <f>SUM(J4:J33)</f>
        <v>0.14583333333333331</v>
      </c>
      <c r="E44" s="6"/>
      <c r="F44" s="6">
        <f t="shared" si="3"/>
        <v>6.6287878787878781E-3</v>
      </c>
      <c r="G44" s="6" t="s">
        <v>89</v>
      </c>
      <c r="J44" s="7"/>
      <c r="M44" s="7"/>
    </row>
    <row r="45" spans="1:17" x14ac:dyDescent="0.35">
      <c r="A45" s="25" t="s">
        <v>93</v>
      </c>
      <c r="B45" s="6"/>
      <c r="C45" s="6"/>
      <c r="D45" s="6">
        <f>SUM(K4:K33)</f>
        <v>1.5479166666666668</v>
      </c>
      <c r="E45" s="6"/>
      <c r="F45" s="6">
        <f t="shared" si="3"/>
        <v>7.0359848484848497E-2</v>
      </c>
      <c r="G45" s="6" t="s">
        <v>89</v>
      </c>
      <c r="J45" s="7"/>
      <c r="M45" s="7"/>
    </row>
    <row r="46" spans="1:17" x14ac:dyDescent="0.35">
      <c r="A46" s="7"/>
      <c r="B46" s="7"/>
      <c r="C46" s="7"/>
      <c r="D46" s="7"/>
      <c r="J46" s="7"/>
      <c r="M46" s="7"/>
    </row>
    <row r="47" spans="1:17" x14ac:dyDescent="0.35">
      <c r="A47" s="26" t="s">
        <v>94</v>
      </c>
      <c r="B47" s="7"/>
      <c r="C47" s="7"/>
      <c r="D47" s="7">
        <f>SUM(F4:F33)</f>
        <v>18.584027777777777</v>
      </c>
      <c r="J47" s="7"/>
      <c r="M47" s="7"/>
    </row>
    <row r="48" spans="1:17" x14ac:dyDescent="0.35">
      <c r="A48" s="7"/>
      <c r="B48" s="7"/>
      <c r="C48" s="7"/>
      <c r="D48" s="7"/>
      <c r="J48" s="7"/>
      <c r="M48" s="7"/>
    </row>
    <row r="49" spans="1:13" x14ac:dyDescent="0.35">
      <c r="A49" s="7"/>
      <c r="B49" s="7"/>
      <c r="C49" s="7"/>
      <c r="D49" s="7"/>
      <c r="J49" s="7"/>
      <c r="M49" s="7"/>
    </row>
    <row r="50" spans="1:13" x14ac:dyDescent="0.35">
      <c r="A50" s="7"/>
      <c r="B50" s="7"/>
      <c r="C50" s="7"/>
      <c r="D50" s="7"/>
      <c r="J50" s="7"/>
      <c r="M50" s="7"/>
    </row>
    <row r="51" spans="1:13" x14ac:dyDescent="0.35">
      <c r="A51" s="7"/>
      <c r="B51" s="7"/>
      <c r="C51" s="7"/>
      <c r="D51" s="7"/>
      <c r="J51" s="7"/>
      <c r="M51" s="7"/>
    </row>
    <row r="52" spans="1:13" x14ac:dyDescent="0.35">
      <c r="A52" s="7"/>
      <c r="B52" s="7"/>
      <c r="C52" s="7"/>
      <c r="D52" s="7"/>
      <c r="J52" s="7"/>
      <c r="M52" s="7"/>
    </row>
    <row r="53" spans="1:13" x14ac:dyDescent="0.35">
      <c r="A53" s="7"/>
      <c r="B53" s="7"/>
      <c r="C53" s="7"/>
      <c r="D53" s="7"/>
      <c r="J53" s="7"/>
      <c r="M53" s="7"/>
    </row>
    <row r="54" spans="1:13" x14ac:dyDescent="0.35">
      <c r="A54" s="7"/>
      <c r="B54" s="7"/>
      <c r="C54" s="7"/>
      <c r="D54" s="7"/>
      <c r="J54" s="7"/>
      <c r="M54" s="7"/>
    </row>
    <row r="55" spans="1:13" x14ac:dyDescent="0.35">
      <c r="A55" s="7"/>
      <c r="B55" s="7"/>
      <c r="C55" s="7"/>
      <c r="D55" s="7"/>
      <c r="J55" s="7"/>
      <c r="M55" s="7"/>
    </row>
  </sheetData>
  <mergeCells count="2">
    <mergeCell ref="A1:Q1"/>
    <mergeCell ref="A37:Q37"/>
  </mergeCells>
  <phoneticPr fontId="12" type="noConversion"/>
  <conditionalFormatting sqref="G4:G35">
    <cfRule type="expression" dxfId="4" priority="1">
      <formula>G4&gt;4</formula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25DCF-ADBA-4053-9D48-26D6E5C10B27}">
  <dimension ref="A1:Q58"/>
  <sheetViews>
    <sheetView topLeftCell="E9" workbookViewId="0">
      <selection activeCell="F42" sqref="F42"/>
    </sheetView>
  </sheetViews>
  <sheetFormatPr defaultRowHeight="14.5" x14ac:dyDescent="0.35"/>
  <cols>
    <col min="1" max="1" width="14" customWidth="1"/>
    <col min="2" max="2" width="29.08984375" customWidth="1"/>
    <col min="3" max="4" width="18" customWidth="1"/>
    <col min="5" max="5" width="14" style="7" customWidth="1"/>
    <col min="6" max="6" width="18" style="7" customWidth="1"/>
    <col min="7" max="7" width="16.81640625" style="7" customWidth="1"/>
    <col min="8" max="8" width="16" style="7" customWidth="1"/>
    <col min="9" max="9" width="20" style="7" customWidth="1"/>
    <col min="10" max="10" width="16" customWidth="1"/>
    <col min="11" max="11" width="18" style="7" customWidth="1"/>
    <col min="12" max="12" width="16" style="7" customWidth="1"/>
    <col min="13" max="13" width="52.26953125" customWidth="1"/>
    <col min="14" max="14" width="18" customWidth="1"/>
    <col min="15" max="15" width="12" customWidth="1"/>
    <col min="16" max="16" width="18" customWidth="1"/>
    <col min="17" max="17" width="55.453125" customWidth="1"/>
  </cols>
  <sheetData>
    <row r="1" spans="1:17" ht="21" x14ac:dyDescent="0.35">
      <c r="A1" s="152" t="s">
        <v>17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</row>
    <row r="3" spans="1:17" x14ac:dyDescent="0.35">
      <c r="A3" s="1" t="s">
        <v>0</v>
      </c>
      <c r="B3" s="1" t="s">
        <v>1</v>
      </c>
      <c r="C3" s="1" t="s">
        <v>2</v>
      </c>
      <c r="D3" s="1" t="s">
        <v>3</v>
      </c>
      <c r="E3" s="5" t="s">
        <v>4</v>
      </c>
      <c r="F3" s="5" t="s">
        <v>5</v>
      </c>
      <c r="G3" s="5" t="s">
        <v>6</v>
      </c>
      <c r="H3" s="5" t="s">
        <v>147</v>
      </c>
      <c r="I3" s="5" t="s">
        <v>145</v>
      </c>
      <c r="J3" s="1" t="s">
        <v>7</v>
      </c>
      <c r="K3" s="5" t="s">
        <v>8</v>
      </c>
      <c r="L3" s="5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</row>
    <row r="4" spans="1:17" x14ac:dyDescent="0.35">
      <c r="A4" s="3">
        <v>46143</v>
      </c>
      <c r="B4" s="2" t="s">
        <v>23</v>
      </c>
      <c r="C4" s="2" t="s">
        <v>112</v>
      </c>
      <c r="D4" s="2" t="s">
        <v>24</v>
      </c>
      <c r="E4" s="6">
        <v>0.45833333333333331</v>
      </c>
      <c r="F4" s="6">
        <v>0.35416666666666669</v>
      </c>
      <c r="G4" s="6">
        <f t="shared" ref="G4:G34" si="0">E4-F4</f>
        <v>0.10416666666666663</v>
      </c>
      <c r="H4" s="6">
        <v>0.10416666666666667</v>
      </c>
      <c r="I4" s="6"/>
      <c r="J4" s="4"/>
      <c r="K4" s="6"/>
      <c r="L4" s="6">
        <f t="shared" ref="L4:L33" si="1">SUM(H4:K4)</f>
        <v>0.10416666666666667</v>
      </c>
      <c r="M4" s="2" t="s">
        <v>101</v>
      </c>
      <c r="N4" s="2"/>
      <c r="O4" s="2">
        <v>80</v>
      </c>
      <c r="P4" s="2">
        <v>88007</v>
      </c>
      <c r="Q4" s="2"/>
    </row>
    <row r="5" spans="1:17" x14ac:dyDescent="0.35">
      <c r="A5" s="3">
        <v>46144</v>
      </c>
      <c r="B5" s="2" t="s">
        <v>23</v>
      </c>
      <c r="C5" s="2" t="s">
        <v>112</v>
      </c>
      <c r="D5" s="2" t="s">
        <v>24</v>
      </c>
      <c r="E5" s="6">
        <v>0.5</v>
      </c>
      <c r="F5" s="6">
        <v>0.5</v>
      </c>
      <c r="G5" s="6">
        <f t="shared" si="0"/>
        <v>0</v>
      </c>
      <c r="H5" s="6"/>
      <c r="I5" s="6"/>
      <c r="J5" s="2"/>
      <c r="K5" s="6"/>
      <c r="L5" s="6">
        <f t="shared" si="1"/>
        <v>0</v>
      </c>
      <c r="M5" s="2"/>
      <c r="N5" s="2"/>
      <c r="O5" s="2">
        <v>81</v>
      </c>
      <c r="P5" s="2">
        <v>88007</v>
      </c>
      <c r="Q5" s="2"/>
    </row>
    <row r="6" spans="1:17" s="35" customFormat="1" x14ac:dyDescent="0.35">
      <c r="A6" s="32">
        <v>46145</v>
      </c>
      <c r="B6" s="33" t="s">
        <v>23</v>
      </c>
      <c r="C6" s="33" t="s">
        <v>112</v>
      </c>
      <c r="D6" s="33" t="s">
        <v>24</v>
      </c>
      <c r="E6" s="34">
        <v>0.3923611111111111</v>
      </c>
      <c r="F6" s="34">
        <v>0.3923611111111111</v>
      </c>
      <c r="G6" s="34">
        <f t="shared" si="0"/>
        <v>0</v>
      </c>
      <c r="H6" s="34"/>
      <c r="I6" s="34"/>
      <c r="J6" s="33"/>
      <c r="K6" s="34"/>
      <c r="L6" s="34">
        <f t="shared" si="1"/>
        <v>0</v>
      </c>
      <c r="M6" s="33"/>
      <c r="N6" s="33"/>
      <c r="O6" s="33">
        <v>82</v>
      </c>
      <c r="P6" s="33">
        <v>88007</v>
      </c>
      <c r="Q6" s="33"/>
    </row>
    <row r="7" spans="1:17" x14ac:dyDescent="0.35">
      <c r="A7" s="29">
        <v>46146</v>
      </c>
      <c r="B7" s="30" t="s">
        <v>23</v>
      </c>
      <c r="C7" s="30" t="s">
        <v>112</v>
      </c>
      <c r="D7" s="30" t="s">
        <v>24</v>
      </c>
      <c r="E7" s="31">
        <v>0.45833333333333331</v>
      </c>
      <c r="F7" s="31"/>
      <c r="G7" s="31">
        <f t="shared" si="0"/>
        <v>0.45833333333333331</v>
      </c>
      <c r="H7" s="31"/>
      <c r="I7" s="31">
        <v>0.45833333333333331</v>
      </c>
      <c r="J7" s="30"/>
      <c r="K7" s="31"/>
      <c r="L7" s="31">
        <f t="shared" si="1"/>
        <v>0.45833333333333331</v>
      </c>
      <c r="M7" s="23" t="s">
        <v>103</v>
      </c>
      <c r="N7" s="30"/>
      <c r="O7" s="30">
        <v>83</v>
      </c>
      <c r="P7" s="30">
        <v>88007</v>
      </c>
      <c r="Q7" s="30"/>
    </row>
    <row r="8" spans="1:17" s="35" customFormat="1" x14ac:dyDescent="0.35">
      <c r="A8" s="32">
        <v>46147</v>
      </c>
      <c r="B8" s="33" t="s">
        <v>23</v>
      </c>
      <c r="C8" s="33" t="s">
        <v>112</v>
      </c>
      <c r="D8" s="33" t="s">
        <v>24</v>
      </c>
      <c r="E8" s="34">
        <v>0.45833333333333331</v>
      </c>
      <c r="F8" s="34">
        <v>0.2048611111111111</v>
      </c>
      <c r="G8" s="34">
        <f t="shared" si="0"/>
        <v>0.25347222222222221</v>
      </c>
      <c r="H8" s="34"/>
      <c r="I8" s="34">
        <v>0.25347222222222221</v>
      </c>
      <c r="J8" s="33"/>
      <c r="K8" s="34"/>
      <c r="L8" s="34">
        <f t="shared" si="1"/>
        <v>0.25347222222222221</v>
      </c>
      <c r="M8" s="33" t="s">
        <v>102</v>
      </c>
      <c r="N8" s="33"/>
      <c r="O8" s="33">
        <v>84</v>
      </c>
      <c r="P8" s="33">
        <v>88007</v>
      </c>
      <c r="Q8" s="33"/>
    </row>
    <row r="9" spans="1:17" x14ac:dyDescent="0.35">
      <c r="A9" s="3">
        <v>46148</v>
      </c>
      <c r="B9" s="2" t="s">
        <v>23</v>
      </c>
      <c r="C9" s="2" t="s">
        <v>112</v>
      </c>
      <c r="D9" s="2" t="s">
        <v>24</v>
      </c>
      <c r="E9" s="6">
        <v>0.45833333333333331</v>
      </c>
      <c r="F9" s="6">
        <v>0.125</v>
      </c>
      <c r="G9" s="6">
        <f t="shared" si="0"/>
        <v>0.33333333333333331</v>
      </c>
      <c r="H9" s="6"/>
      <c r="I9" s="6">
        <v>0.33333333333333331</v>
      </c>
      <c r="J9" s="2"/>
      <c r="K9" s="6"/>
      <c r="L9" s="6">
        <f t="shared" si="1"/>
        <v>0.33333333333333331</v>
      </c>
      <c r="M9" s="23" t="s">
        <v>103</v>
      </c>
      <c r="N9" s="2"/>
      <c r="O9" s="2">
        <v>85</v>
      </c>
      <c r="P9" s="2">
        <v>88007</v>
      </c>
      <c r="Q9" s="2"/>
    </row>
    <row r="10" spans="1:17" x14ac:dyDescent="0.35">
      <c r="A10" s="3">
        <v>46149</v>
      </c>
      <c r="B10" s="2" t="s">
        <v>23</v>
      </c>
      <c r="C10" s="2" t="s">
        <v>112</v>
      </c>
      <c r="D10" s="2" t="s">
        <v>24</v>
      </c>
      <c r="E10" s="6">
        <v>0.45833333333333331</v>
      </c>
      <c r="F10" s="6">
        <v>0.1875</v>
      </c>
      <c r="G10" s="6">
        <f t="shared" si="0"/>
        <v>0.27083333333333331</v>
      </c>
      <c r="H10" s="6"/>
      <c r="I10" s="6">
        <v>0.27083333333333331</v>
      </c>
      <c r="J10" s="4"/>
      <c r="K10" s="6"/>
      <c r="L10" s="6">
        <f t="shared" si="1"/>
        <v>0.27083333333333331</v>
      </c>
      <c r="M10" s="2" t="s">
        <v>103</v>
      </c>
      <c r="N10" s="2"/>
      <c r="O10" s="2">
        <v>86</v>
      </c>
      <c r="P10" s="2">
        <v>88007</v>
      </c>
      <c r="Q10" s="2"/>
    </row>
    <row r="11" spans="1:17" x14ac:dyDescent="0.35">
      <c r="A11" s="3">
        <v>46150</v>
      </c>
      <c r="B11" s="2" t="s">
        <v>23</v>
      </c>
      <c r="C11" s="2" t="s">
        <v>112</v>
      </c>
      <c r="D11" s="2" t="s">
        <v>24</v>
      </c>
      <c r="E11" s="6">
        <v>0.45833333333333331</v>
      </c>
      <c r="F11" s="6">
        <v>0.45833333333333331</v>
      </c>
      <c r="G11" s="6">
        <f t="shared" si="0"/>
        <v>0</v>
      </c>
      <c r="H11" s="6"/>
      <c r="I11" s="6"/>
      <c r="J11" s="2"/>
      <c r="K11" s="6"/>
      <c r="L11" s="6">
        <f t="shared" si="1"/>
        <v>0</v>
      </c>
      <c r="M11" s="2"/>
      <c r="N11" s="2"/>
      <c r="O11" s="2">
        <v>87</v>
      </c>
      <c r="P11" s="2">
        <v>88007</v>
      </c>
      <c r="Q11" s="2"/>
    </row>
    <row r="12" spans="1:17" x14ac:dyDescent="0.35">
      <c r="A12" s="3">
        <v>46151</v>
      </c>
      <c r="B12" s="2" t="s">
        <v>23</v>
      </c>
      <c r="C12" s="2" t="s">
        <v>112</v>
      </c>
      <c r="D12" s="2" t="s">
        <v>24</v>
      </c>
      <c r="E12" s="6">
        <v>0.45833333333333331</v>
      </c>
      <c r="F12" s="6">
        <v>0.45833333333333331</v>
      </c>
      <c r="G12" s="6">
        <f t="shared" si="0"/>
        <v>0</v>
      </c>
      <c r="H12" s="6"/>
      <c r="I12" s="6"/>
      <c r="J12" s="2"/>
      <c r="K12" s="6"/>
      <c r="L12" s="6">
        <f t="shared" si="1"/>
        <v>0</v>
      </c>
      <c r="M12" s="2" t="s">
        <v>105</v>
      </c>
      <c r="N12" s="2"/>
      <c r="O12" s="2">
        <v>89</v>
      </c>
      <c r="P12" s="2">
        <v>88007</v>
      </c>
      <c r="Q12" s="2"/>
    </row>
    <row r="13" spans="1:17" x14ac:dyDescent="0.35">
      <c r="A13" s="3">
        <v>46152</v>
      </c>
      <c r="B13" s="2" t="s">
        <v>23</v>
      </c>
      <c r="C13" s="2" t="s">
        <v>112</v>
      </c>
      <c r="D13" s="2" t="s">
        <v>24</v>
      </c>
      <c r="E13" s="6">
        <v>0.41666666666666669</v>
      </c>
      <c r="F13" s="6">
        <v>0.41666666666666669</v>
      </c>
      <c r="G13" s="6">
        <f t="shared" si="0"/>
        <v>0</v>
      </c>
      <c r="H13" s="6"/>
      <c r="I13" s="6"/>
      <c r="J13" s="2"/>
      <c r="K13" s="6"/>
      <c r="L13" s="6">
        <f t="shared" si="1"/>
        <v>0</v>
      </c>
      <c r="M13" s="2" t="s">
        <v>104</v>
      </c>
      <c r="N13" s="2"/>
      <c r="O13" s="2">
        <v>90</v>
      </c>
      <c r="P13" s="2">
        <v>88007</v>
      </c>
      <c r="Q13" s="2"/>
    </row>
    <row r="14" spans="1:17" x14ac:dyDescent="0.35">
      <c r="A14" s="3">
        <v>46153</v>
      </c>
      <c r="B14" s="2" t="s">
        <v>23</v>
      </c>
      <c r="C14" s="2" t="s">
        <v>112</v>
      </c>
      <c r="D14" s="2" t="s">
        <v>24</v>
      </c>
      <c r="E14" s="6">
        <v>0.43402777777777779</v>
      </c>
      <c r="F14" s="6">
        <v>0.16666666666666666</v>
      </c>
      <c r="G14" s="6">
        <f t="shared" si="0"/>
        <v>0.26736111111111116</v>
      </c>
      <c r="H14" s="6">
        <v>0.2673611111111111</v>
      </c>
      <c r="I14" s="6"/>
      <c r="J14" s="2"/>
      <c r="K14" s="6"/>
      <c r="L14" s="6">
        <f t="shared" si="1"/>
        <v>0.2673611111111111</v>
      </c>
      <c r="M14" s="2" t="s">
        <v>106</v>
      </c>
      <c r="N14" s="2"/>
      <c r="O14" s="2">
        <v>91</v>
      </c>
      <c r="P14" s="2">
        <v>88007</v>
      </c>
      <c r="Q14" s="2"/>
    </row>
    <row r="15" spans="1:17" x14ac:dyDescent="0.35">
      <c r="A15" s="3">
        <v>46154</v>
      </c>
      <c r="B15" s="2" t="s">
        <v>23</v>
      </c>
      <c r="C15" s="2" t="s">
        <v>112</v>
      </c>
      <c r="D15" s="2" t="s">
        <v>24</v>
      </c>
      <c r="E15" s="6">
        <v>0.45833333333333331</v>
      </c>
      <c r="F15" s="6">
        <v>0.45833333333333331</v>
      </c>
      <c r="G15" s="6">
        <f t="shared" si="0"/>
        <v>0</v>
      </c>
      <c r="H15" s="6"/>
      <c r="I15" s="6"/>
      <c r="J15" s="2"/>
      <c r="K15" s="6"/>
      <c r="L15" s="6">
        <f t="shared" si="1"/>
        <v>0</v>
      </c>
      <c r="M15" s="2" t="s">
        <v>107</v>
      </c>
      <c r="N15" s="2"/>
      <c r="O15" s="2">
        <v>92</v>
      </c>
      <c r="P15" s="2">
        <v>88007</v>
      </c>
      <c r="Q15" s="2"/>
    </row>
    <row r="16" spans="1:17" x14ac:dyDescent="0.35">
      <c r="A16" s="3">
        <v>46155</v>
      </c>
      <c r="B16" s="2" t="s">
        <v>23</v>
      </c>
      <c r="C16" s="2" t="s">
        <v>112</v>
      </c>
      <c r="D16" s="2" t="s">
        <v>24</v>
      </c>
      <c r="E16" s="6">
        <v>0.45833333333333331</v>
      </c>
      <c r="F16" s="6">
        <v>8.3333333333333329E-2</v>
      </c>
      <c r="G16" s="6">
        <f t="shared" si="0"/>
        <v>0.375</v>
      </c>
      <c r="H16" s="6">
        <v>0.20833333333333334</v>
      </c>
      <c r="I16" s="6">
        <v>0.16666666666666666</v>
      </c>
      <c r="J16" s="2"/>
      <c r="K16" s="6"/>
      <c r="L16" s="6">
        <f t="shared" si="1"/>
        <v>0.375</v>
      </c>
      <c r="M16" s="2" t="s">
        <v>121</v>
      </c>
      <c r="N16" s="2"/>
      <c r="O16" s="2">
        <v>93</v>
      </c>
      <c r="P16" s="2">
        <v>88007</v>
      </c>
      <c r="Q16" s="2"/>
    </row>
    <row r="17" spans="1:17" x14ac:dyDescent="0.35">
      <c r="A17" s="3">
        <v>46156</v>
      </c>
      <c r="B17" s="2" t="s">
        <v>23</v>
      </c>
      <c r="C17" s="2" t="s">
        <v>112</v>
      </c>
      <c r="D17" s="2" t="s">
        <v>24</v>
      </c>
      <c r="E17" s="6">
        <v>0.45833333333333331</v>
      </c>
      <c r="F17" s="6">
        <v>0.35625000000000001</v>
      </c>
      <c r="G17" s="6">
        <f t="shared" si="0"/>
        <v>0.1020833333333333</v>
      </c>
      <c r="H17" s="6">
        <v>0.10208333333333333</v>
      </c>
      <c r="I17" s="6"/>
      <c r="J17" s="2"/>
      <c r="K17" s="6"/>
      <c r="L17" s="6">
        <f t="shared" si="1"/>
        <v>0.10208333333333333</v>
      </c>
      <c r="M17" s="2" t="s">
        <v>108</v>
      </c>
      <c r="N17" s="2"/>
      <c r="O17" s="2">
        <v>94</v>
      </c>
      <c r="P17" s="2">
        <v>88007</v>
      </c>
      <c r="Q17" s="2"/>
    </row>
    <row r="18" spans="1:17" x14ac:dyDescent="0.35">
      <c r="A18" s="3">
        <v>46157</v>
      </c>
      <c r="B18" s="2" t="s">
        <v>23</v>
      </c>
      <c r="C18" s="2" t="s">
        <v>112</v>
      </c>
      <c r="D18" s="2" t="s">
        <v>24</v>
      </c>
      <c r="E18" s="6">
        <v>0.45833333333333331</v>
      </c>
      <c r="F18" s="6">
        <v>0.39583333333333331</v>
      </c>
      <c r="G18" s="6">
        <f t="shared" si="0"/>
        <v>6.25E-2</v>
      </c>
      <c r="H18" s="6"/>
      <c r="I18" s="6"/>
      <c r="J18" s="4">
        <v>6.25E-2</v>
      </c>
      <c r="K18" s="6"/>
      <c r="L18" s="6">
        <f t="shared" si="1"/>
        <v>6.25E-2</v>
      </c>
      <c r="M18" s="2" t="s">
        <v>109</v>
      </c>
      <c r="N18" s="2"/>
      <c r="O18" s="2">
        <v>95</v>
      </c>
      <c r="P18" s="2">
        <v>88007</v>
      </c>
      <c r="Q18" s="2"/>
    </row>
    <row r="19" spans="1:17" x14ac:dyDescent="0.35">
      <c r="A19" s="3">
        <v>46158</v>
      </c>
      <c r="B19" s="2" t="s">
        <v>23</v>
      </c>
      <c r="C19" s="2" t="s">
        <v>112</v>
      </c>
      <c r="D19" s="2" t="s">
        <v>24</v>
      </c>
      <c r="E19" s="6">
        <v>0.45833333333333331</v>
      </c>
      <c r="F19" s="6">
        <v>0.45833333333333331</v>
      </c>
      <c r="G19" s="6">
        <f t="shared" si="0"/>
        <v>0</v>
      </c>
      <c r="H19" s="6"/>
      <c r="I19" s="6"/>
      <c r="J19" s="2"/>
      <c r="K19" s="6"/>
      <c r="L19" s="6">
        <f t="shared" si="1"/>
        <v>0</v>
      </c>
      <c r="M19" s="2"/>
      <c r="N19" s="2"/>
      <c r="O19" s="2">
        <v>96</v>
      </c>
      <c r="P19" s="2">
        <v>88007</v>
      </c>
      <c r="Q19" s="2"/>
    </row>
    <row r="20" spans="1:17" x14ac:dyDescent="0.35">
      <c r="A20" s="3">
        <v>46159</v>
      </c>
      <c r="B20" s="2" t="s">
        <v>23</v>
      </c>
      <c r="C20" s="2" t="s">
        <v>112</v>
      </c>
      <c r="D20" s="2" t="s">
        <v>24</v>
      </c>
      <c r="E20" s="6">
        <v>0.45833333333333331</v>
      </c>
      <c r="F20" s="6">
        <v>0.45833333333333331</v>
      </c>
      <c r="G20" s="6">
        <f t="shared" si="0"/>
        <v>0</v>
      </c>
      <c r="H20" s="6"/>
      <c r="I20" s="6"/>
      <c r="J20" s="2"/>
      <c r="K20" s="6"/>
      <c r="L20" s="6">
        <f t="shared" si="1"/>
        <v>0</v>
      </c>
      <c r="M20" s="2"/>
      <c r="N20" s="2"/>
      <c r="O20" s="2">
        <v>97</v>
      </c>
      <c r="P20" s="2">
        <v>88007</v>
      </c>
      <c r="Q20" s="2"/>
    </row>
    <row r="21" spans="1:17" x14ac:dyDescent="0.35">
      <c r="A21" s="3">
        <v>46160</v>
      </c>
      <c r="B21" s="2" t="s">
        <v>23</v>
      </c>
      <c r="C21" s="2" t="s">
        <v>112</v>
      </c>
      <c r="D21" s="2" t="s">
        <v>24</v>
      </c>
      <c r="E21" s="6">
        <v>0.45833333333333331</v>
      </c>
      <c r="F21" s="6">
        <v>0.45833333333333331</v>
      </c>
      <c r="G21" s="6">
        <f t="shared" si="0"/>
        <v>0</v>
      </c>
      <c r="H21" s="6"/>
      <c r="I21" s="6"/>
      <c r="J21" s="2"/>
      <c r="K21" s="6"/>
      <c r="L21" s="6">
        <f t="shared" si="1"/>
        <v>0</v>
      </c>
      <c r="M21" s="2"/>
      <c r="N21" s="2"/>
      <c r="O21" s="2">
        <v>98</v>
      </c>
      <c r="P21" s="2">
        <v>88007</v>
      </c>
      <c r="Q21" s="2"/>
    </row>
    <row r="22" spans="1:17" x14ac:dyDescent="0.35">
      <c r="A22" s="3">
        <v>46161</v>
      </c>
      <c r="B22" s="2" t="s">
        <v>23</v>
      </c>
      <c r="C22" s="2" t="s">
        <v>112</v>
      </c>
      <c r="D22" s="2" t="s">
        <v>24</v>
      </c>
      <c r="E22" s="6">
        <v>0.5</v>
      </c>
      <c r="F22" s="6">
        <v>0.5</v>
      </c>
      <c r="G22" s="6">
        <f t="shared" si="0"/>
        <v>0</v>
      </c>
      <c r="H22" s="6"/>
      <c r="I22" s="6"/>
      <c r="J22" s="2"/>
      <c r="K22" s="6"/>
      <c r="L22" s="6">
        <f t="shared" si="1"/>
        <v>0</v>
      </c>
      <c r="M22" s="2" t="s">
        <v>110</v>
      </c>
      <c r="N22" s="2"/>
      <c r="O22" s="2">
        <v>99</v>
      </c>
      <c r="P22" s="2">
        <v>88007</v>
      </c>
      <c r="Q22" s="2"/>
    </row>
    <row r="23" spans="1:17" x14ac:dyDescent="0.35">
      <c r="A23" s="3">
        <v>46162</v>
      </c>
      <c r="B23" s="2" t="s">
        <v>23</v>
      </c>
      <c r="C23" s="2" t="s">
        <v>113</v>
      </c>
      <c r="D23" s="2" t="s">
        <v>24</v>
      </c>
      <c r="E23" s="6">
        <v>1</v>
      </c>
      <c r="F23" s="6">
        <v>1</v>
      </c>
      <c r="G23" s="6">
        <f t="shared" si="0"/>
        <v>0</v>
      </c>
      <c r="H23" s="6"/>
      <c r="I23" s="6"/>
      <c r="J23" s="2"/>
      <c r="K23" s="6"/>
      <c r="L23" s="6">
        <f t="shared" si="1"/>
        <v>0</v>
      </c>
      <c r="M23" s="2" t="s">
        <v>110</v>
      </c>
      <c r="N23" s="2"/>
      <c r="O23" s="2">
        <v>100</v>
      </c>
      <c r="P23" s="2">
        <v>88007</v>
      </c>
      <c r="Q23" s="2"/>
    </row>
    <row r="24" spans="1:17" x14ac:dyDescent="0.35">
      <c r="A24" s="3">
        <v>46163</v>
      </c>
      <c r="B24" s="2" t="s">
        <v>23</v>
      </c>
      <c r="C24" s="2" t="s">
        <v>112</v>
      </c>
      <c r="D24" s="2" t="s">
        <v>24</v>
      </c>
      <c r="E24" s="6">
        <v>0.45833333333333331</v>
      </c>
      <c r="F24" s="6">
        <v>0.45833333333333331</v>
      </c>
      <c r="G24" s="6">
        <f t="shared" si="0"/>
        <v>0</v>
      </c>
      <c r="H24" s="6"/>
      <c r="I24" s="6"/>
      <c r="J24" s="2"/>
      <c r="K24" s="6"/>
      <c r="L24" s="6">
        <f t="shared" si="1"/>
        <v>0</v>
      </c>
      <c r="M24" s="2" t="s">
        <v>110</v>
      </c>
      <c r="N24" s="2"/>
      <c r="O24" s="2">
        <v>101</v>
      </c>
      <c r="P24" s="2">
        <v>88007</v>
      </c>
      <c r="Q24" s="2"/>
    </row>
    <row r="25" spans="1:17" x14ac:dyDescent="0.35">
      <c r="A25" s="3">
        <v>46164</v>
      </c>
      <c r="B25" s="2" t="s">
        <v>23</v>
      </c>
      <c r="C25" s="2" t="s">
        <v>112</v>
      </c>
      <c r="D25" s="2" t="s">
        <v>24</v>
      </c>
      <c r="E25" s="6">
        <v>0.45833333333333331</v>
      </c>
      <c r="F25" s="6">
        <v>0.45833333333333331</v>
      </c>
      <c r="G25" s="6">
        <f t="shared" si="0"/>
        <v>0</v>
      </c>
      <c r="H25" s="6"/>
      <c r="I25" s="6"/>
      <c r="J25" s="2"/>
      <c r="K25" s="6"/>
      <c r="L25" s="6">
        <f t="shared" si="1"/>
        <v>0</v>
      </c>
      <c r="M25" s="2" t="s">
        <v>110</v>
      </c>
      <c r="N25" s="2"/>
      <c r="O25" s="2">
        <v>102</v>
      </c>
      <c r="P25" s="2">
        <v>88007</v>
      </c>
    </row>
    <row r="26" spans="1:17" x14ac:dyDescent="0.35">
      <c r="A26" s="3">
        <v>46165</v>
      </c>
      <c r="B26" s="2" t="s">
        <v>23</v>
      </c>
      <c r="C26" s="2" t="s">
        <v>113</v>
      </c>
      <c r="D26" s="2" t="s">
        <v>24</v>
      </c>
      <c r="E26" s="6">
        <v>1</v>
      </c>
      <c r="F26" s="6">
        <v>0.9375</v>
      </c>
      <c r="G26" s="6">
        <f t="shared" si="0"/>
        <v>6.25E-2</v>
      </c>
      <c r="H26" s="6"/>
      <c r="I26" s="6">
        <v>6.25E-2</v>
      </c>
      <c r="J26" s="2"/>
      <c r="K26" s="6"/>
      <c r="L26" s="6">
        <f t="shared" si="1"/>
        <v>6.25E-2</v>
      </c>
      <c r="M26" s="2" t="s">
        <v>158</v>
      </c>
      <c r="N26" s="2"/>
      <c r="O26" s="2">
        <v>103</v>
      </c>
      <c r="P26" s="2">
        <v>88007</v>
      </c>
      <c r="Q26" s="2" t="s">
        <v>159</v>
      </c>
    </row>
    <row r="27" spans="1:17" x14ac:dyDescent="0.35">
      <c r="A27" s="3">
        <v>46166</v>
      </c>
      <c r="B27" s="2" t="s">
        <v>23</v>
      </c>
      <c r="C27" s="2" t="s">
        <v>112</v>
      </c>
      <c r="D27" s="2" t="s">
        <v>24</v>
      </c>
      <c r="E27" s="6">
        <v>0.47916666666666669</v>
      </c>
      <c r="F27" s="6">
        <v>0.47916666666666669</v>
      </c>
      <c r="G27" s="6">
        <f t="shared" si="0"/>
        <v>0</v>
      </c>
      <c r="H27" s="6"/>
      <c r="I27" s="6"/>
      <c r="J27" s="2"/>
      <c r="K27" s="6"/>
      <c r="L27" s="6">
        <f t="shared" si="1"/>
        <v>0</v>
      </c>
      <c r="M27" s="2" t="s">
        <v>160</v>
      </c>
      <c r="N27" s="2"/>
      <c r="O27" s="2">
        <v>104</v>
      </c>
      <c r="P27" s="2">
        <v>88007</v>
      </c>
      <c r="Q27" s="2"/>
    </row>
    <row r="28" spans="1:17" x14ac:dyDescent="0.35">
      <c r="A28" s="3">
        <v>46167</v>
      </c>
      <c r="B28" s="2" t="s">
        <v>23</v>
      </c>
      <c r="C28" s="2"/>
      <c r="D28" s="2" t="s">
        <v>24</v>
      </c>
      <c r="E28" s="6"/>
      <c r="F28" s="6"/>
      <c r="G28" s="6">
        <f t="shared" si="0"/>
        <v>0</v>
      </c>
      <c r="H28" s="6"/>
      <c r="I28" s="6"/>
      <c r="J28" s="2"/>
      <c r="K28" s="6"/>
      <c r="L28" s="6">
        <f t="shared" si="1"/>
        <v>0</v>
      </c>
      <c r="M28" s="2"/>
      <c r="N28" s="2"/>
      <c r="O28" s="2">
        <v>105</v>
      </c>
      <c r="P28" s="2">
        <v>88007</v>
      </c>
      <c r="Q28" s="2"/>
    </row>
    <row r="29" spans="1:17" x14ac:dyDescent="0.35">
      <c r="A29" s="3">
        <v>46168</v>
      </c>
      <c r="B29" s="2" t="s">
        <v>23</v>
      </c>
      <c r="C29" s="2"/>
      <c r="D29" s="2" t="s">
        <v>24</v>
      </c>
      <c r="E29" s="6"/>
      <c r="F29" s="6"/>
      <c r="G29" s="6">
        <f t="shared" si="0"/>
        <v>0</v>
      </c>
      <c r="H29" s="6"/>
      <c r="I29" s="6"/>
      <c r="J29" s="2"/>
      <c r="K29" s="6"/>
      <c r="L29" s="6">
        <f t="shared" si="1"/>
        <v>0</v>
      </c>
      <c r="M29" s="2"/>
      <c r="N29" s="2"/>
      <c r="O29" s="2">
        <v>106</v>
      </c>
      <c r="P29" s="2">
        <v>88007</v>
      </c>
      <c r="Q29" s="2"/>
    </row>
    <row r="30" spans="1:17" x14ac:dyDescent="0.35">
      <c r="A30" s="3">
        <v>46169</v>
      </c>
      <c r="B30" s="2" t="s">
        <v>23</v>
      </c>
      <c r="C30" s="2" t="s">
        <v>112</v>
      </c>
      <c r="D30" s="2" t="s">
        <v>24</v>
      </c>
      <c r="E30" s="6"/>
      <c r="F30" s="6"/>
      <c r="G30" s="6">
        <f>E30-F30</f>
        <v>0</v>
      </c>
      <c r="H30" s="6"/>
      <c r="I30" s="6"/>
      <c r="J30" s="2"/>
      <c r="K30" s="6"/>
      <c r="L30" s="6">
        <f t="shared" si="1"/>
        <v>0</v>
      </c>
      <c r="N30" s="2"/>
      <c r="O30" s="2">
        <v>107</v>
      </c>
      <c r="P30" s="2">
        <v>88007</v>
      </c>
    </row>
    <row r="31" spans="1:17" x14ac:dyDescent="0.35">
      <c r="A31" s="3">
        <v>46170</v>
      </c>
      <c r="B31" s="2" t="s">
        <v>23</v>
      </c>
      <c r="C31" s="2"/>
      <c r="D31" s="2" t="s">
        <v>24</v>
      </c>
      <c r="E31" s="6">
        <v>0.5</v>
      </c>
      <c r="F31" s="6">
        <v>0.41666666666666669</v>
      </c>
      <c r="G31" s="6">
        <f>E31-F31</f>
        <v>8.3333333333333315E-2</v>
      </c>
      <c r="H31" s="6">
        <v>8.3333333333333329E-2</v>
      </c>
      <c r="I31" s="6"/>
      <c r="J31" s="2"/>
      <c r="K31" s="6"/>
      <c r="L31" s="6">
        <f>SUM(H31:K31)</f>
        <v>8.3333333333333329E-2</v>
      </c>
      <c r="M31" s="2" t="s">
        <v>194</v>
      </c>
      <c r="N31" s="2"/>
      <c r="O31" s="2">
        <v>108</v>
      </c>
      <c r="P31" s="2">
        <v>88007</v>
      </c>
      <c r="Q31" s="2" t="s">
        <v>195</v>
      </c>
    </row>
    <row r="32" spans="1:17" x14ac:dyDescent="0.35">
      <c r="A32" s="3">
        <v>46171</v>
      </c>
      <c r="B32" s="2" t="s">
        <v>23</v>
      </c>
      <c r="C32" s="2" t="s">
        <v>112</v>
      </c>
      <c r="D32" s="2" t="s">
        <v>24</v>
      </c>
      <c r="E32" s="6">
        <v>0.41666666666666669</v>
      </c>
      <c r="F32" s="6">
        <v>0.29166666666666669</v>
      </c>
      <c r="G32" s="6">
        <f t="shared" si="0"/>
        <v>0.125</v>
      </c>
      <c r="H32" s="6">
        <v>0.125</v>
      </c>
      <c r="I32" s="6"/>
      <c r="J32" s="2"/>
      <c r="K32" s="6"/>
      <c r="L32" s="6">
        <f t="shared" si="1"/>
        <v>0.125</v>
      </c>
      <c r="M32" s="2" t="s">
        <v>196</v>
      </c>
      <c r="N32" s="2"/>
      <c r="O32" s="2">
        <v>109</v>
      </c>
      <c r="P32" s="2">
        <v>88007</v>
      </c>
      <c r="Q32" s="2" t="s">
        <v>197</v>
      </c>
    </row>
    <row r="33" spans="1:17" x14ac:dyDescent="0.35">
      <c r="A33" s="3">
        <v>46172</v>
      </c>
      <c r="B33" s="2" t="s">
        <v>23</v>
      </c>
      <c r="C33" s="2"/>
      <c r="D33" s="2" t="s">
        <v>24</v>
      </c>
      <c r="E33" s="6"/>
      <c r="F33" s="6"/>
      <c r="G33" s="6">
        <f t="shared" si="0"/>
        <v>0</v>
      </c>
      <c r="H33" s="6"/>
      <c r="I33" s="6"/>
      <c r="J33" s="2"/>
      <c r="K33" s="6"/>
      <c r="L33" s="6">
        <f t="shared" si="1"/>
        <v>0</v>
      </c>
      <c r="M33" s="2"/>
      <c r="N33" s="2"/>
      <c r="O33" s="2">
        <v>110</v>
      </c>
      <c r="P33" s="2">
        <v>88007</v>
      </c>
      <c r="Q33" s="2"/>
    </row>
    <row r="34" spans="1:17" x14ac:dyDescent="0.35">
      <c r="A34" s="3">
        <v>46173</v>
      </c>
      <c r="B34" s="2" t="s">
        <v>23</v>
      </c>
      <c r="C34" s="2"/>
      <c r="D34" s="2" t="s">
        <v>24</v>
      </c>
      <c r="G34" s="6">
        <f t="shared" si="0"/>
        <v>0</v>
      </c>
      <c r="L34" s="6"/>
      <c r="M34" s="2"/>
      <c r="N34" s="2"/>
      <c r="O34" s="2"/>
      <c r="P34" s="2"/>
      <c r="Q34" s="2"/>
    </row>
    <row r="35" spans="1:17" x14ac:dyDescent="0.35">
      <c r="A35" s="3"/>
      <c r="B35" s="2"/>
      <c r="C35" s="2"/>
      <c r="D35" s="2"/>
      <c r="L35" s="6"/>
      <c r="M35" s="2"/>
      <c r="N35" s="2"/>
      <c r="O35" s="2"/>
      <c r="P35" s="2"/>
      <c r="Q35" s="2"/>
    </row>
    <row r="36" spans="1:17" x14ac:dyDescent="0.35">
      <c r="A36" s="3"/>
      <c r="B36" s="2"/>
      <c r="C36" s="2"/>
      <c r="D36" s="2"/>
      <c r="E36" s="13" t="s">
        <v>42</v>
      </c>
      <c r="F36" s="13" t="s">
        <v>42</v>
      </c>
      <c r="G36" s="13" t="s">
        <v>42</v>
      </c>
      <c r="H36" s="13" t="s">
        <v>42</v>
      </c>
      <c r="I36" s="13" t="s">
        <v>42</v>
      </c>
      <c r="J36" s="12" t="s">
        <v>42</v>
      </c>
      <c r="K36" s="13" t="s">
        <v>42</v>
      </c>
      <c r="L36" s="6"/>
      <c r="M36" s="2"/>
      <c r="N36" s="2"/>
      <c r="O36" s="2"/>
      <c r="P36" s="2"/>
      <c r="Q36" s="2"/>
    </row>
    <row r="37" spans="1:17" x14ac:dyDescent="0.35">
      <c r="A37" s="2"/>
      <c r="B37" s="2"/>
      <c r="C37" s="2"/>
      <c r="D37" s="2"/>
      <c r="E37" s="13">
        <f t="shared" ref="E37:K37" si="2">SUM(E4:E33)</f>
        <v>12.972222222222221</v>
      </c>
      <c r="F37" s="13">
        <f t="shared" si="2"/>
        <v>10.474305555555553</v>
      </c>
      <c r="G37" s="15">
        <f t="shared" si="2"/>
        <v>2.4979166666666668</v>
      </c>
      <c r="H37" s="13">
        <f t="shared" si="2"/>
        <v>0.89027777777777783</v>
      </c>
      <c r="I37" s="13">
        <f t="shared" si="2"/>
        <v>1.5451388888888888</v>
      </c>
      <c r="J37" s="24">
        <f t="shared" si="2"/>
        <v>6.25E-2</v>
      </c>
      <c r="K37" s="13">
        <f t="shared" si="2"/>
        <v>0</v>
      </c>
      <c r="L37" s="6"/>
      <c r="M37" s="2"/>
      <c r="N37" s="2"/>
      <c r="O37" s="2"/>
      <c r="P37" s="2"/>
      <c r="Q37" s="2"/>
    </row>
    <row r="38" spans="1:17" x14ac:dyDescent="0.35">
      <c r="G38" s="27"/>
      <c r="J38" s="28"/>
    </row>
    <row r="39" spans="1:17" ht="20" customHeight="1" x14ac:dyDescent="0.35"/>
    <row r="40" spans="1:17" ht="18.5" x14ac:dyDescent="0.45">
      <c r="A40" s="156" t="s">
        <v>87</v>
      </c>
      <c r="B40" s="157"/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</row>
    <row r="41" spans="1:17" x14ac:dyDescent="0.35">
      <c r="A41" s="7"/>
      <c r="B41" s="7"/>
      <c r="C41" s="7"/>
      <c r="D41" s="7"/>
      <c r="J41" s="7"/>
      <c r="M41" s="7"/>
    </row>
    <row r="42" spans="1:17" x14ac:dyDescent="0.35">
      <c r="A42" s="25" t="s">
        <v>88</v>
      </c>
      <c r="B42" s="6"/>
      <c r="C42" s="6"/>
      <c r="D42" s="6">
        <f>SUM(E4:E33)</f>
        <v>12.972222222222221</v>
      </c>
      <c r="E42" s="6"/>
      <c r="F42" s="6">
        <f t="shared" ref="F42:F48" si="3">D42/11</f>
        <v>1.1792929292929293</v>
      </c>
      <c r="G42" s="6" t="s">
        <v>89</v>
      </c>
      <c r="J42" s="7"/>
      <c r="M42" s="7"/>
    </row>
    <row r="43" spans="1:17" x14ac:dyDescent="0.35">
      <c r="A43" s="25" t="s">
        <v>90</v>
      </c>
      <c r="B43" s="6"/>
      <c r="C43" s="6"/>
      <c r="D43" s="6">
        <f>SUM(F4:F33)</f>
        <v>10.474305555555553</v>
      </c>
      <c r="E43" s="6"/>
      <c r="F43" s="6">
        <f t="shared" si="3"/>
        <v>0.95220959595959576</v>
      </c>
      <c r="G43" s="6" t="s">
        <v>89</v>
      </c>
      <c r="J43" s="7"/>
      <c r="M43" s="7"/>
    </row>
    <row r="44" spans="1:17" x14ac:dyDescent="0.35">
      <c r="A44" s="25" t="s">
        <v>91</v>
      </c>
      <c r="B44" s="6"/>
      <c r="C44" s="6"/>
      <c r="D44" s="6">
        <f>SUM(G4:G33)</f>
        <v>2.4979166666666668</v>
      </c>
      <c r="E44" s="6"/>
      <c r="F44" s="6">
        <f t="shared" si="3"/>
        <v>0.22708333333333333</v>
      </c>
      <c r="G44" s="6" t="s">
        <v>89</v>
      </c>
      <c r="J44" s="7"/>
      <c r="M44" s="7"/>
    </row>
    <row r="45" spans="1:17" x14ac:dyDescent="0.35">
      <c r="A45" s="25" t="s">
        <v>153</v>
      </c>
      <c r="B45" s="6"/>
      <c r="C45" s="6"/>
      <c r="D45" s="6">
        <f>SUM(H4:H33)</f>
        <v>0.89027777777777783</v>
      </c>
      <c r="E45" s="6"/>
      <c r="F45" s="6">
        <f t="shared" si="3"/>
        <v>8.0934343434343442E-2</v>
      </c>
      <c r="G45" s="6" t="s">
        <v>89</v>
      </c>
      <c r="J45" s="7"/>
      <c r="M45" s="7"/>
    </row>
    <row r="46" spans="1:17" x14ac:dyDescent="0.35">
      <c r="A46" s="25" t="s">
        <v>152</v>
      </c>
      <c r="B46" s="6"/>
      <c r="C46" s="6"/>
      <c r="D46" s="6">
        <f>SUM(I4:I33)</f>
        <v>1.5451388888888888</v>
      </c>
      <c r="E46" s="6"/>
      <c r="F46" s="6">
        <f t="shared" si="3"/>
        <v>0.14046717171717171</v>
      </c>
      <c r="G46" s="6" t="s">
        <v>89</v>
      </c>
      <c r="J46" s="7"/>
      <c r="M46" s="7"/>
    </row>
    <row r="47" spans="1:17" x14ac:dyDescent="0.35">
      <c r="A47" s="25" t="s">
        <v>92</v>
      </c>
      <c r="B47" s="6"/>
      <c r="C47" s="6"/>
      <c r="D47" s="6">
        <f>SUM(J4:J33)</f>
        <v>6.25E-2</v>
      </c>
      <c r="E47" s="6"/>
      <c r="F47" s="6">
        <f t="shared" si="3"/>
        <v>5.681818181818182E-3</v>
      </c>
      <c r="G47" s="6" t="s">
        <v>89</v>
      </c>
      <c r="J47" s="7"/>
      <c r="M47" s="7"/>
    </row>
    <row r="48" spans="1:17" x14ac:dyDescent="0.35">
      <c r="A48" s="25" t="s">
        <v>93</v>
      </c>
      <c r="B48" s="6"/>
      <c r="C48" s="6"/>
      <c r="D48" s="6">
        <f>SUM(K4:K33)</f>
        <v>0</v>
      </c>
      <c r="E48" s="6"/>
      <c r="F48" s="6">
        <f t="shared" si="3"/>
        <v>0</v>
      </c>
      <c r="G48" s="6" t="s">
        <v>89</v>
      </c>
      <c r="J48" s="7"/>
      <c r="M48" s="7"/>
    </row>
    <row r="49" spans="1:13" x14ac:dyDescent="0.35">
      <c r="A49" s="7"/>
      <c r="B49" s="7"/>
      <c r="C49" s="7"/>
      <c r="D49" s="7"/>
      <c r="J49" s="7"/>
      <c r="M49" s="7"/>
    </row>
    <row r="50" spans="1:13" x14ac:dyDescent="0.35">
      <c r="A50" s="26" t="s">
        <v>94</v>
      </c>
      <c r="B50" s="7"/>
      <c r="C50" s="7"/>
      <c r="D50" s="7">
        <f>SUM(F4:F33)</f>
        <v>10.474305555555553</v>
      </c>
      <c r="J50" s="7"/>
      <c r="M50" s="7"/>
    </row>
    <row r="51" spans="1:13" x14ac:dyDescent="0.35">
      <c r="A51" s="7"/>
      <c r="B51" s="7"/>
      <c r="C51" s="7"/>
      <c r="D51" s="7"/>
      <c r="J51" s="7"/>
      <c r="M51" s="7"/>
    </row>
    <row r="52" spans="1:13" x14ac:dyDescent="0.35">
      <c r="A52" s="7"/>
      <c r="B52" s="7"/>
      <c r="C52" s="7"/>
      <c r="D52" s="7"/>
      <c r="J52" s="7"/>
      <c r="M52" s="7"/>
    </row>
    <row r="53" spans="1:13" x14ac:dyDescent="0.35">
      <c r="A53" s="7"/>
      <c r="B53" s="7"/>
      <c r="C53" s="7"/>
      <c r="D53" s="7"/>
      <c r="J53" s="7"/>
      <c r="M53" s="7"/>
    </row>
    <row r="54" spans="1:13" x14ac:dyDescent="0.35">
      <c r="A54" s="7"/>
      <c r="B54" s="7"/>
      <c r="C54" s="7"/>
      <c r="D54" s="7"/>
      <c r="J54" s="7"/>
      <c r="M54" s="7"/>
    </row>
    <row r="55" spans="1:13" x14ac:dyDescent="0.35">
      <c r="A55" s="7"/>
      <c r="B55" s="7"/>
      <c r="C55" s="7"/>
      <c r="D55" s="7"/>
      <c r="J55" s="7"/>
      <c r="M55" s="7"/>
    </row>
    <row r="56" spans="1:13" x14ac:dyDescent="0.35">
      <c r="A56" s="7"/>
      <c r="B56" s="7"/>
      <c r="C56" s="7"/>
      <c r="D56" s="7"/>
      <c r="J56" s="7"/>
      <c r="M56" s="7"/>
    </row>
    <row r="57" spans="1:13" x14ac:dyDescent="0.35">
      <c r="A57" s="7"/>
      <c r="B57" s="7"/>
      <c r="C57" s="7"/>
      <c r="D57" s="7"/>
      <c r="J57" s="7"/>
      <c r="M57" s="7"/>
    </row>
    <row r="58" spans="1:13" x14ac:dyDescent="0.35">
      <c r="A58" s="7"/>
      <c r="B58" s="7"/>
      <c r="C58" s="7"/>
      <c r="D58" s="7"/>
      <c r="J58" s="7"/>
      <c r="M58" s="7"/>
    </row>
  </sheetData>
  <mergeCells count="2">
    <mergeCell ref="A1:Q1"/>
    <mergeCell ref="A40:Q40"/>
  </mergeCells>
  <conditionalFormatting sqref="G4:G34 G36:G38">
    <cfRule type="expression" dxfId="3" priority="1">
      <formula>G4&gt;4</formula>
    </cfRule>
  </conditionalFormatting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ECBD1-E357-47F3-B716-E136C8E63C15}">
  <dimension ref="A1:J55"/>
  <sheetViews>
    <sheetView topLeftCell="A27" workbookViewId="0">
      <selection activeCell="F10" sqref="F10"/>
    </sheetView>
  </sheetViews>
  <sheetFormatPr defaultRowHeight="14.5" x14ac:dyDescent="0.35"/>
  <cols>
    <col min="1" max="1" width="14" customWidth="1"/>
    <col min="2" max="2" width="20.26953125" customWidth="1"/>
    <col min="3" max="3" width="18" customWidth="1"/>
    <col min="4" max="4" width="23.6328125" customWidth="1"/>
    <col min="5" max="5" width="17.08984375" style="108" customWidth="1"/>
    <col min="6" max="6" width="19.81640625" style="7" customWidth="1"/>
    <col min="7" max="7" width="16.81640625" style="107" customWidth="1"/>
    <col min="8" max="8" width="59.36328125" customWidth="1"/>
    <col min="9" max="9" width="18" customWidth="1"/>
    <col min="10" max="10" width="55.453125" customWidth="1"/>
  </cols>
  <sheetData>
    <row r="1" spans="1:10" ht="21" x14ac:dyDescent="0.35">
      <c r="A1" s="152" t="s">
        <v>16</v>
      </c>
      <c r="B1" s="153"/>
      <c r="C1" s="153"/>
      <c r="D1" s="153"/>
      <c r="E1" s="153"/>
      <c r="F1" s="153"/>
      <c r="G1" s="153"/>
      <c r="H1" s="153"/>
      <c r="I1" s="153"/>
      <c r="J1" s="153"/>
    </row>
    <row r="3" spans="1:10" x14ac:dyDescent="0.35">
      <c r="A3" s="1" t="s">
        <v>0</v>
      </c>
      <c r="B3" s="1" t="s">
        <v>1</v>
      </c>
      <c r="C3" s="1" t="s">
        <v>2</v>
      </c>
      <c r="D3" s="1" t="s">
        <v>3</v>
      </c>
      <c r="E3" s="102" t="s">
        <v>214</v>
      </c>
      <c r="F3" s="5" t="s">
        <v>215</v>
      </c>
      <c r="G3" s="102" t="s">
        <v>6</v>
      </c>
      <c r="H3" s="1" t="s">
        <v>10</v>
      </c>
      <c r="I3" s="1" t="s">
        <v>11</v>
      </c>
      <c r="J3" s="1" t="s">
        <v>250</v>
      </c>
    </row>
    <row r="4" spans="1:10" x14ac:dyDescent="0.35">
      <c r="A4" s="3">
        <v>46077</v>
      </c>
      <c r="C4" s="2"/>
      <c r="D4" s="2" t="s">
        <v>212</v>
      </c>
      <c r="E4" s="114">
        <v>0.64930555555555558</v>
      </c>
      <c r="F4" s="114">
        <v>0.76388888888888884</v>
      </c>
      <c r="G4" s="104">
        <f>Tabela_Abril10[[#This Row],[Horário até:]]-Tabela_Abril10[[#This Row],[Horário de:]]</f>
        <v>0.11458333333333326</v>
      </c>
      <c r="H4" s="2" t="s">
        <v>213</v>
      </c>
      <c r="I4" s="2"/>
      <c r="J4" s="2" t="s">
        <v>251</v>
      </c>
    </row>
    <row r="5" spans="1:10" x14ac:dyDescent="0.35">
      <c r="A5" s="3">
        <v>46167</v>
      </c>
      <c r="C5" s="2"/>
      <c r="D5" s="2" t="s">
        <v>221</v>
      </c>
      <c r="E5" s="114">
        <v>0.29166666666666669</v>
      </c>
      <c r="F5" s="114">
        <v>0.4375</v>
      </c>
      <c r="G5" s="104">
        <f>Tabela_Abril10[[#This Row],[Horário até:]]-Tabela_Abril10[[#This Row],[Horário de:]]</f>
        <v>0.14583333333333331</v>
      </c>
      <c r="H5" s="2"/>
      <c r="I5" s="2"/>
      <c r="J5" s="9">
        <f>1850.3-1885.04</f>
        <v>-34.740000000000009</v>
      </c>
    </row>
    <row r="6" spans="1:10" x14ac:dyDescent="0.35">
      <c r="A6" s="3"/>
      <c r="C6" s="2"/>
      <c r="D6" s="2" t="s">
        <v>222</v>
      </c>
      <c r="E6" s="114">
        <v>0.45833333333333331</v>
      </c>
      <c r="F6" s="114">
        <v>0.63194444444444442</v>
      </c>
      <c r="G6" s="104">
        <f>Tabela_Abril10[[#This Row],[Horário até:]]-Tabela_Abril10[[#This Row],[Horário de:]]</f>
        <v>0.1736111111111111</v>
      </c>
      <c r="H6" s="2"/>
      <c r="I6" s="2"/>
      <c r="J6" s="2"/>
    </row>
    <row r="7" spans="1:10" x14ac:dyDescent="0.35">
      <c r="A7" s="3">
        <v>46086</v>
      </c>
      <c r="C7" s="2"/>
      <c r="D7" s="2" t="s">
        <v>225</v>
      </c>
      <c r="E7" s="114"/>
      <c r="F7" s="114"/>
      <c r="G7" s="104">
        <f>Tabela_Abril10[[#This Row],[Horário até:]]-Tabela_Abril10[[#This Row],[Horário de:]]</f>
        <v>0</v>
      </c>
      <c r="H7" s="2" t="s">
        <v>226</v>
      </c>
      <c r="I7" s="2"/>
      <c r="J7" s="2"/>
    </row>
    <row r="8" spans="1:10" x14ac:dyDescent="0.35">
      <c r="A8" s="3">
        <v>46089</v>
      </c>
      <c r="C8" s="2"/>
      <c r="D8" s="2" t="s">
        <v>225</v>
      </c>
      <c r="E8" s="114"/>
      <c r="F8" s="114"/>
      <c r="G8" s="104">
        <f>Tabela_Abril10[[#This Row],[Horário até:]]-Tabela_Abril10[[#This Row],[Horário de:]]</f>
        <v>0</v>
      </c>
      <c r="H8" s="2" t="s">
        <v>228</v>
      </c>
      <c r="I8" s="2"/>
      <c r="J8" s="2"/>
    </row>
    <row r="9" spans="1:10" x14ac:dyDescent="0.35">
      <c r="A9" s="3">
        <v>46091</v>
      </c>
      <c r="C9" s="2"/>
      <c r="D9" s="2" t="s">
        <v>230</v>
      </c>
      <c r="E9" s="114">
        <v>0.4375</v>
      </c>
      <c r="F9" s="114">
        <v>0.45833333333333331</v>
      </c>
      <c r="G9" s="104">
        <f>Tabela_Abril10[[#This Row],[Horário até:]]-Tabela_Abril10[[#This Row],[Horário de:]]</f>
        <v>2.0833333333333315E-2</v>
      </c>
      <c r="H9" s="23" t="s">
        <v>231</v>
      </c>
      <c r="I9" s="2"/>
      <c r="J9" s="2"/>
    </row>
    <row r="10" spans="1:10" x14ac:dyDescent="0.35">
      <c r="A10" s="3">
        <v>46100</v>
      </c>
      <c r="C10" s="2"/>
      <c r="D10" s="2" t="s">
        <v>232</v>
      </c>
      <c r="E10" s="114">
        <v>0.375</v>
      </c>
      <c r="F10" s="114">
        <v>0.47916666666666669</v>
      </c>
      <c r="G10" s="104">
        <f>Tabela_Abril10[[#This Row],[Horário até:]]-Tabela_Abril10[[#This Row],[Horário de:]]</f>
        <v>0.10416666666666669</v>
      </c>
      <c r="H10" s="2" t="s">
        <v>233</v>
      </c>
      <c r="I10" s="2"/>
      <c r="J10" s="2"/>
    </row>
    <row r="11" spans="1:10" x14ac:dyDescent="0.35">
      <c r="A11" s="3">
        <v>46101</v>
      </c>
      <c r="C11" s="2"/>
      <c r="D11" s="2" t="s">
        <v>230</v>
      </c>
      <c r="E11" s="114">
        <v>0.29166666666666669</v>
      </c>
      <c r="F11" s="114">
        <v>0.70833333333333337</v>
      </c>
      <c r="G11" s="104">
        <f>Tabela_Abril10[[#This Row],[Horário até:]]-Tabela_Abril10[[#This Row],[Horário de:]]</f>
        <v>0.41666666666666669</v>
      </c>
      <c r="H11" s="2" t="s">
        <v>234</v>
      </c>
      <c r="I11" s="2"/>
      <c r="J11" s="2"/>
    </row>
    <row r="12" spans="1:10" x14ac:dyDescent="0.35">
      <c r="A12" s="3">
        <v>46105</v>
      </c>
      <c r="C12" s="2"/>
      <c r="D12" s="2" t="s">
        <v>239</v>
      </c>
      <c r="E12" s="114">
        <v>1.0104166666666667</v>
      </c>
      <c r="F12" s="114">
        <v>1.0902777777777777</v>
      </c>
      <c r="G12" s="104">
        <f>Tabela_Abril10[[#This Row],[Horário até:]]-Tabela_Abril10[[#This Row],[Horário de:]]</f>
        <v>7.9861111111110938E-2</v>
      </c>
      <c r="H12" s="2" t="s">
        <v>240</v>
      </c>
      <c r="I12" s="2"/>
      <c r="J12" s="2"/>
    </row>
    <row r="13" spans="1:10" x14ac:dyDescent="0.35">
      <c r="A13" s="3">
        <v>46108</v>
      </c>
      <c r="C13" s="2"/>
      <c r="D13" s="2" t="s">
        <v>203</v>
      </c>
      <c r="E13" s="114">
        <v>0.875</v>
      </c>
      <c r="F13" s="114">
        <v>1.2916666666666667</v>
      </c>
      <c r="G13" s="104">
        <f>Tabela_Abril10[[#This Row],[Horário até:]]-Tabela_Abril10[[#This Row],[Horário de:]]</f>
        <v>0.41666666666666674</v>
      </c>
      <c r="H13" s="2" t="s">
        <v>242</v>
      </c>
      <c r="I13" s="2"/>
      <c r="J13" s="2"/>
    </row>
    <row r="14" spans="1:10" x14ac:dyDescent="0.35">
      <c r="A14" s="3">
        <v>46109</v>
      </c>
      <c r="C14" s="2"/>
      <c r="D14" s="2" t="s">
        <v>243</v>
      </c>
      <c r="E14" s="114">
        <v>0.54166666666666663</v>
      </c>
      <c r="F14" s="114">
        <v>0.79166666666666663</v>
      </c>
      <c r="G14" s="104">
        <f>Tabela_Abril10[[#This Row],[Horário até:]]-Tabela_Abril10[[#This Row],[Horário de:]]</f>
        <v>0.25</v>
      </c>
      <c r="H14" s="2"/>
      <c r="I14" s="2"/>
      <c r="J14" s="2"/>
    </row>
    <row r="15" spans="1:10" x14ac:dyDescent="0.35">
      <c r="A15" s="3">
        <v>46110</v>
      </c>
      <c r="C15" s="2"/>
      <c r="D15" s="2" t="s">
        <v>243</v>
      </c>
      <c r="E15" s="114">
        <v>0.29166666666666669</v>
      </c>
      <c r="F15" s="114">
        <v>0.375</v>
      </c>
      <c r="G15" s="104">
        <f>Tabela_Abril10[[#This Row],[Horário até:]]-Tabela_Abril10[[#This Row],[Horário de:]]</f>
        <v>8.3333333333333315E-2</v>
      </c>
      <c r="H15" s="2"/>
      <c r="I15" s="2"/>
      <c r="J15" s="2"/>
    </row>
    <row r="16" spans="1:10" x14ac:dyDescent="0.35">
      <c r="A16" s="3"/>
      <c r="C16" s="2"/>
      <c r="D16" s="2" t="s">
        <v>243</v>
      </c>
      <c r="E16" s="114">
        <v>0.79166666666666663</v>
      </c>
      <c r="F16" s="114">
        <v>1.2916666666666667</v>
      </c>
      <c r="G16" s="104">
        <f>Tabela_Abril10[[#This Row],[Horário até:]]-Tabela_Abril10[[#This Row],[Horário de:]]</f>
        <v>0.50000000000000011</v>
      </c>
      <c r="H16" s="2"/>
      <c r="I16" s="2"/>
      <c r="J16" s="2"/>
    </row>
    <row r="17" spans="1:10" x14ac:dyDescent="0.35">
      <c r="A17" s="3"/>
      <c r="C17" s="2"/>
      <c r="D17" s="2"/>
      <c r="E17" s="103"/>
      <c r="F17" s="114"/>
      <c r="G17" s="104">
        <f>Tabela_Abril10[[#This Row],[Horário até:]]-Tabela_Abril10[[#This Row],[Horário de:]]</f>
        <v>0</v>
      </c>
      <c r="H17" s="2"/>
      <c r="I17" s="2"/>
      <c r="J17" s="2"/>
    </row>
    <row r="18" spans="1:10" x14ac:dyDescent="0.35">
      <c r="A18" s="3">
        <v>46122</v>
      </c>
      <c r="C18" s="2"/>
      <c r="D18" s="2" t="s">
        <v>245</v>
      </c>
      <c r="E18" s="103">
        <v>0.125</v>
      </c>
      <c r="F18" s="114">
        <v>0.25</v>
      </c>
      <c r="G18" s="104">
        <f>Tabela_Abril10[[#This Row],[Horário até:]]-Tabela_Abril10[[#This Row],[Horário de:]]</f>
        <v>0.125</v>
      </c>
      <c r="H18" s="2"/>
      <c r="I18" s="2"/>
      <c r="J18" s="2"/>
    </row>
    <row r="19" spans="1:10" x14ac:dyDescent="0.35">
      <c r="A19" s="3">
        <v>46124</v>
      </c>
      <c r="C19" s="2"/>
      <c r="D19" s="2" t="s">
        <v>232</v>
      </c>
      <c r="E19" s="103">
        <v>0.875</v>
      </c>
      <c r="F19" s="114">
        <v>1.0416666666666667</v>
      </c>
      <c r="G19" s="104">
        <f>Tabela_Abril10[[#This Row],[Horário até:]]-Tabela_Abril10[[#This Row],[Horário de:]]</f>
        <v>0.16666666666666674</v>
      </c>
      <c r="H19" s="2"/>
      <c r="I19" s="2"/>
      <c r="J19" s="2"/>
    </row>
    <row r="20" spans="1:10" x14ac:dyDescent="0.35">
      <c r="A20" s="3">
        <v>46125</v>
      </c>
      <c r="C20" s="2"/>
      <c r="D20" s="2" t="s">
        <v>230</v>
      </c>
      <c r="E20" s="103">
        <v>0.75</v>
      </c>
      <c r="F20" s="114">
        <v>0.79166666666666663</v>
      </c>
      <c r="G20" s="104">
        <f>Tabela_Abril10[[#This Row],[Horário até:]]-Tabela_Abril10[[#This Row],[Horário de:]]</f>
        <v>4.166666666666663E-2</v>
      </c>
      <c r="H20" s="2"/>
      <c r="I20" s="2"/>
      <c r="J20" s="2"/>
    </row>
    <row r="21" spans="1:10" x14ac:dyDescent="0.35">
      <c r="A21" s="3">
        <v>46126</v>
      </c>
      <c r="C21" s="2"/>
      <c r="D21" s="2" t="s">
        <v>245</v>
      </c>
      <c r="E21" s="103">
        <v>0.64236111111111116</v>
      </c>
      <c r="F21" s="114">
        <v>0.69444444444444442</v>
      </c>
      <c r="G21" s="104">
        <f>Tabela_Abril10[[#This Row],[Horário até:]]-Tabela_Abril10[[#This Row],[Horário de:]]</f>
        <v>5.2083333333333259E-2</v>
      </c>
      <c r="H21" s="2"/>
      <c r="I21" s="2"/>
      <c r="J21" s="2"/>
    </row>
    <row r="22" spans="1:10" x14ac:dyDescent="0.35">
      <c r="A22" s="3"/>
      <c r="C22" s="2"/>
      <c r="D22" s="2" t="s">
        <v>245</v>
      </c>
      <c r="E22" s="103">
        <v>3.4722222222222224E-2</v>
      </c>
      <c r="F22" s="114">
        <v>8.3333333333333329E-2</v>
      </c>
      <c r="G22" s="104">
        <f>Tabela_Abril10[[#This Row],[Horário até:]]-Tabela_Abril10[[#This Row],[Horário de:]]</f>
        <v>4.8611111111111105E-2</v>
      </c>
      <c r="H22" s="2"/>
      <c r="I22" s="2"/>
      <c r="J22" s="2"/>
    </row>
    <row r="23" spans="1:10" x14ac:dyDescent="0.35">
      <c r="A23" s="3"/>
      <c r="C23" s="2"/>
      <c r="D23" s="2" t="s">
        <v>248</v>
      </c>
      <c r="E23" s="103">
        <v>0.35416666666666669</v>
      </c>
      <c r="F23" s="114">
        <v>0.55902777777777779</v>
      </c>
      <c r="G23" s="104">
        <f>Tabela_Abril10[[#This Row],[Horário até:]]-Tabela_Abril10[[#This Row],[Horário de:]]</f>
        <v>0.2048611111111111</v>
      </c>
      <c r="H23" s="2"/>
      <c r="I23" s="2"/>
      <c r="J23" s="2"/>
    </row>
    <row r="24" spans="1:10" x14ac:dyDescent="0.35">
      <c r="A24" s="3">
        <v>46127</v>
      </c>
      <c r="C24" s="2"/>
      <c r="D24" s="2" t="s">
        <v>232</v>
      </c>
      <c r="E24" s="114">
        <v>1.0208333333333333</v>
      </c>
      <c r="F24" s="114">
        <v>1.2916666666666667</v>
      </c>
      <c r="G24" s="104">
        <f>Tabela_Abril10[[#This Row],[Horário até:]]-Tabela_Abril10[[#This Row],[Horário de:]]</f>
        <v>0.27083333333333348</v>
      </c>
      <c r="H24" s="2"/>
      <c r="I24" s="2"/>
      <c r="J24" s="2"/>
    </row>
    <row r="25" spans="1:10" x14ac:dyDescent="0.35">
      <c r="A25" s="3">
        <v>46128</v>
      </c>
      <c r="C25" s="2"/>
      <c r="D25" s="2" t="s">
        <v>232</v>
      </c>
      <c r="E25" s="103">
        <v>0.29166666666666669</v>
      </c>
      <c r="F25" s="114">
        <v>0.39583333333333331</v>
      </c>
      <c r="G25" s="104">
        <f>Tabela_Abril10[[#This Row],[Horário até:]]-Tabela_Abril10[[#This Row],[Horário de:]]</f>
        <v>0.10416666666666663</v>
      </c>
      <c r="H25" s="2"/>
      <c r="I25" s="2"/>
      <c r="J25" s="2"/>
    </row>
    <row r="26" spans="1:10" x14ac:dyDescent="0.35">
      <c r="A26" s="3"/>
      <c r="C26" s="2"/>
      <c r="D26" s="2" t="s">
        <v>230</v>
      </c>
      <c r="E26" s="103">
        <v>0.39583333333333331</v>
      </c>
      <c r="F26" s="114">
        <v>0.64583333333333337</v>
      </c>
      <c r="G26" s="104">
        <f>Tabela_Abril10[[#This Row],[Horário até:]]-Tabela_Abril10[[#This Row],[Horário de:]]</f>
        <v>0.25000000000000006</v>
      </c>
      <c r="H26" s="2"/>
      <c r="I26" s="2"/>
      <c r="J26" s="2"/>
    </row>
    <row r="27" spans="1:10" x14ac:dyDescent="0.35">
      <c r="A27" s="3">
        <v>46130</v>
      </c>
      <c r="C27" s="2"/>
      <c r="D27" s="2" t="s">
        <v>245</v>
      </c>
      <c r="E27" s="103">
        <v>0.47916666666666669</v>
      </c>
      <c r="F27" s="114">
        <v>0.64583333333333337</v>
      </c>
      <c r="G27" s="104">
        <f>Tabela_Abril10[[#This Row],[Horário até:]]-Tabela_Abril10[[#This Row],[Horário de:]]</f>
        <v>0.16666666666666669</v>
      </c>
      <c r="H27" s="2"/>
      <c r="I27" s="2"/>
      <c r="J27" s="2"/>
    </row>
    <row r="28" spans="1:10" x14ac:dyDescent="0.35">
      <c r="A28" s="3"/>
      <c r="C28" s="2"/>
      <c r="D28" s="2" t="s">
        <v>232</v>
      </c>
      <c r="E28" s="103">
        <v>0.64583333333333337</v>
      </c>
      <c r="F28" s="114">
        <v>0.72916666666666663</v>
      </c>
      <c r="G28" s="104">
        <f>Tabela_Abril10[[#This Row],[Horário até:]]-Tabela_Abril10[[#This Row],[Horário de:]]</f>
        <v>8.3333333333333259E-2</v>
      </c>
      <c r="H28" s="2"/>
      <c r="I28" s="2"/>
      <c r="J28" s="2"/>
    </row>
    <row r="29" spans="1:10" x14ac:dyDescent="0.35">
      <c r="A29" s="3"/>
      <c r="C29" s="2"/>
      <c r="D29" s="2"/>
      <c r="E29" s="103"/>
      <c r="F29" s="114"/>
      <c r="G29" s="104">
        <f>Tabela_Abril10[[#This Row],[Horário até:]]-Tabela_Abril10[[#This Row],[Horário de:]]</f>
        <v>0</v>
      </c>
      <c r="H29" s="2"/>
      <c r="I29" s="2"/>
      <c r="J29" s="2"/>
    </row>
    <row r="30" spans="1:10" x14ac:dyDescent="0.35">
      <c r="A30" s="3"/>
      <c r="C30" s="2"/>
      <c r="D30" s="2"/>
      <c r="E30" s="103"/>
      <c r="F30" s="114"/>
      <c r="G30" s="104">
        <f>Tabela_Abril10[[#This Row],[Horário até:]]-Tabela_Abril10[[#This Row],[Horário de:]]</f>
        <v>0</v>
      </c>
      <c r="H30" s="2"/>
      <c r="I30" s="2"/>
      <c r="J30" s="2"/>
    </row>
    <row r="31" spans="1:10" x14ac:dyDescent="0.35">
      <c r="A31" s="3"/>
      <c r="C31" s="2"/>
      <c r="D31" s="2"/>
      <c r="E31" s="103"/>
      <c r="F31" s="114"/>
      <c r="G31" s="104">
        <f>Tabela_Abril10[[#This Row],[Horário até:]]-Tabela_Abril10[[#This Row],[Horário de:]]</f>
        <v>0</v>
      </c>
      <c r="H31" s="2"/>
      <c r="I31" s="2"/>
      <c r="J31" s="2"/>
    </row>
    <row r="32" spans="1:10" x14ac:dyDescent="0.35">
      <c r="A32" s="3"/>
      <c r="C32" s="2"/>
      <c r="D32" s="2"/>
      <c r="E32" s="103"/>
      <c r="F32" s="114"/>
      <c r="G32" s="104">
        <f>Tabela_Abril10[[#This Row],[Horário até:]]-Tabela_Abril10[[#This Row],[Horário de:]]</f>
        <v>0</v>
      </c>
      <c r="H32" s="2"/>
      <c r="I32" s="2"/>
      <c r="J32" s="2"/>
    </row>
    <row r="33" spans="1:10" x14ac:dyDescent="0.35">
      <c r="A33" s="3"/>
      <c r="C33" s="2"/>
      <c r="D33" s="2"/>
      <c r="E33" s="103"/>
      <c r="F33" s="114"/>
      <c r="G33" s="104">
        <f>Tabela_Abril10[[#This Row],[Horário até:]]-Tabela_Abril10[[#This Row],[Horário de:]]</f>
        <v>0</v>
      </c>
      <c r="H33" s="2"/>
      <c r="I33" s="2"/>
      <c r="J33" s="2"/>
    </row>
    <row r="34" spans="1:10" x14ac:dyDescent="0.35">
      <c r="A34" s="3"/>
      <c r="B34" s="2"/>
      <c r="C34" s="2"/>
      <c r="D34" s="2"/>
      <c r="E34" s="103"/>
      <c r="F34" s="114"/>
      <c r="G34" s="104"/>
      <c r="H34" s="2"/>
      <c r="I34" s="2"/>
      <c r="J34" s="2"/>
    </row>
    <row r="35" spans="1:10" x14ac:dyDescent="0.35">
      <c r="A35" s="2"/>
      <c r="B35" s="2"/>
      <c r="C35" s="2"/>
      <c r="D35" s="2"/>
      <c r="E35" s="105"/>
      <c r="F35" s="115"/>
      <c r="G35" s="106">
        <f>SUM(G4:G33)</f>
        <v>3.8194444444444446</v>
      </c>
      <c r="H35" s="2"/>
      <c r="I35" s="2"/>
      <c r="J35" s="2"/>
    </row>
    <row r="36" spans="1:10" ht="20" customHeight="1" x14ac:dyDescent="0.35"/>
    <row r="37" spans="1:10" ht="18.5" x14ac:dyDescent="0.45">
      <c r="A37" s="154" t="s">
        <v>134</v>
      </c>
      <c r="B37" s="155"/>
      <c r="C37" s="155"/>
      <c r="D37" s="155"/>
      <c r="E37" s="155"/>
      <c r="F37" s="155"/>
      <c r="G37" s="155"/>
      <c r="H37" s="155"/>
      <c r="I37" s="155"/>
      <c r="J37" s="155"/>
    </row>
    <row r="38" spans="1:10" x14ac:dyDescent="0.35">
      <c r="A38" s="7"/>
      <c r="B38" s="7"/>
      <c r="C38" s="7"/>
      <c r="D38" s="7"/>
      <c r="H38" s="7"/>
    </row>
    <row r="39" spans="1:10" x14ac:dyDescent="0.35">
      <c r="A39" s="25"/>
      <c r="B39" s="6"/>
      <c r="C39" s="6"/>
      <c r="D39" s="6"/>
      <c r="E39" s="109"/>
      <c r="F39" s="6"/>
      <c r="H39" s="7"/>
    </row>
    <row r="40" spans="1:10" x14ac:dyDescent="0.35">
      <c r="A40" s="25"/>
      <c r="B40" s="6"/>
      <c r="C40" s="6"/>
      <c r="D40" s="6"/>
      <c r="E40" s="109"/>
      <c r="F40" s="6"/>
      <c r="H40" s="7"/>
    </row>
    <row r="41" spans="1:10" x14ac:dyDescent="0.35">
      <c r="A41" s="25" t="s">
        <v>216</v>
      </c>
      <c r="B41" s="6"/>
      <c r="C41" s="6"/>
      <c r="D41" s="6">
        <f>SUM(G4:G33)</f>
        <v>3.8194444444444446</v>
      </c>
      <c r="E41" s="109" t="s">
        <v>179</v>
      </c>
      <c r="F41" s="6">
        <f>D41/12</f>
        <v>0.31828703703703703</v>
      </c>
      <c r="H41" s="7"/>
    </row>
    <row r="42" spans="1:10" x14ac:dyDescent="0.35">
      <c r="A42" s="25"/>
      <c r="B42" s="6"/>
      <c r="C42" s="6"/>
      <c r="D42" s="6"/>
      <c r="E42" s="109"/>
      <c r="F42" s="6"/>
      <c r="H42" s="7"/>
    </row>
    <row r="43" spans="1:10" x14ac:dyDescent="0.35">
      <c r="A43" s="25"/>
      <c r="B43" s="6"/>
      <c r="C43" s="6"/>
      <c r="D43" s="6"/>
      <c r="E43" s="109"/>
      <c r="F43" s="6"/>
      <c r="H43" s="7"/>
    </row>
    <row r="44" spans="1:10" x14ac:dyDescent="0.35">
      <c r="A44" s="25"/>
      <c r="B44" s="6"/>
      <c r="C44" s="6"/>
      <c r="D44" s="6"/>
      <c r="E44" s="109"/>
      <c r="F44" s="6"/>
      <c r="H44" s="7"/>
    </row>
    <row r="45" spans="1:10" x14ac:dyDescent="0.35">
      <c r="A45" s="25"/>
      <c r="B45" s="6"/>
      <c r="C45" s="6"/>
      <c r="D45" s="6"/>
      <c r="E45" s="109"/>
      <c r="F45" s="6"/>
      <c r="H45" s="7"/>
    </row>
    <row r="46" spans="1:10" x14ac:dyDescent="0.35">
      <c r="A46" s="7"/>
      <c r="B46" s="7"/>
      <c r="C46" s="7"/>
      <c r="D46" s="7"/>
      <c r="H46" s="7"/>
    </row>
    <row r="47" spans="1:10" x14ac:dyDescent="0.35">
      <c r="A47" s="26"/>
      <c r="B47" s="7"/>
      <c r="C47" s="7"/>
      <c r="D47" s="7"/>
      <c r="H47" s="7"/>
    </row>
    <row r="48" spans="1:10" x14ac:dyDescent="0.35">
      <c r="A48" s="7"/>
      <c r="B48" s="7"/>
      <c r="C48" s="7"/>
      <c r="D48" s="7"/>
      <c r="H48" s="7"/>
    </row>
    <row r="49" spans="1:8" x14ac:dyDescent="0.35">
      <c r="A49" s="7"/>
      <c r="B49" s="7"/>
      <c r="C49" s="7"/>
      <c r="D49" s="7"/>
      <c r="H49" s="7"/>
    </row>
    <row r="50" spans="1:8" x14ac:dyDescent="0.35">
      <c r="A50" s="7"/>
      <c r="B50" s="7"/>
      <c r="C50" s="7"/>
      <c r="D50" s="7"/>
      <c r="H50" s="7"/>
    </row>
    <row r="51" spans="1:8" x14ac:dyDescent="0.35">
      <c r="A51" s="7"/>
      <c r="B51" s="7"/>
      <c r="C51" s="7"/>
      <c r="D51" s="7"/>
      <c r="H51" s="7"/>
    </row>
    <row r="52" spans="1:8" x14ac:dyDescent="0.35">
      <c r="A52" s="7"/>
      <c r="B52" s="7"/>
      <c r="C52" s="7"/>
      <c r="D52" s="7"/>
      <c r="H52" s="7"/>
    </row>
    <row r="53" spans="1:8" x14ac:dyDescent="0.35">
      <c r="A53" s="7"/>
      <c r="B53" s="7"/>
      <c r="C53" s="7"/>
      <c r="D53" s="7"/>
      <c r="H53" s="7"/>
    </row>
    <row r="54" spans="1:8" x14ac:dyDescent="0.35">
      <c r="A54" s="7"/>
      <c r="B54" s="7"/>
      <c r="C54" s="7"/>
      <c r="D54" s="7"/>
      <c r="H54" s="7"/>
    </row>
    <row r="55" spans="1:8" x14ac:dyDescent="0.35">
      <c r="A55" s="7"/>
      <c r="B55" s="7"/>
      <c r="C55" s="7"/>
      <c r="D55" s="7"/>
      <c r="H55" s="7"/>
    </row>
  </sheetData>
  <mergeCells count="2">
    <mergeCell ref="A1:J1"/>
    <mergeCell ref="A37:J37"/>
  </mergeCells>
  <conditionalFormatting sqref="G4:G35">
    <cfRule type="expression" dxfId="2" priority="1">
      <formula>G4&gt;4</formula>
    </cfRule>
  </conditionalFormatting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C96E5-7ABD-4640-B60F-47FFE12C2F14}">
  <dimension ref="A1:P115"/>
  <sheetViews>
    <sheetView topLeftCell="A71" workbookViewId="0">
      <selection activeCell="Q14" sqref="Q14"/>
    </sheetView>
  </sheetViews>
  <sheetFormatPr defaultRowHeight="14.5" x14ac:dyDescent="0.35"/>
  <cols>
    <col min="1" max="1" width="20.90625" customWidth="1"/>
    <col min="2" max="2" width="32.453125" customWidth="1"/>
    <col min="3" max="3" width="8" style="69" customWidth="1"/>
    <col min="4" max="4" width="9.08984375" style="69" customWidth="1"/>
    <col min="5" max="5" width="13.7265625" style="122" customWidth="1"/>
    <col min="6" max="6" width="17.26953125" style="69" customWidth="1"/>
    <col min="7" max="7" width="9.453125" style="69" customWidth="1"/>
    <col min="8" max="8" width="10.453125" style="69" customWidth="1"/>
    <col min="9" max="9" width="13.26953125" style="117" customWidth="1"/>
    <col min="10" max="10" width="12.54296875" style="7" customWidth="1"/>
    <col min="11" max="11" width="14.453125" style="7" customWidth="1"/>
    <col min="12" max="12" width="12.7265625" style="126" customWidth="1"/>
    <col min="13" max="13" width="14.453125" style="27" customWidth="1"/>
    <col min="14" max="14" width="11.453125" customWidth="1"/>
    <col min="15" max="15" width="12.08984375" customWidth="1"/>
    <col min="16" max="16" width="33.1796875" customWidth="1"/>
  </cols>
  <sheetData>
    <row r="1" spans="1:16" ht="21" x14ac:dyDescent="0.35">
      <c r="A1" s="152" t="s">
        <v>164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62"/>
    </row>
    <row r="3" spans="1:16" ht="29" x14ac:dyDescent="0.35">
      <c r="A3" s="64" t="s">
        <v>0</v>
      </c>
      <c r="B3" s="64" t="s">
        <v>165</v>
      </c>
      <c r="C3" s="65" t="s">
        <v>166</v>
      </c>
      <c r="D3" s="65" t="s">
        <v>206</v>
      </c>
      <c r="E3" s="121" t="s">
        <v>167</v>
      </c>
      <c r="F3" s="65" t="s">
        <v>22</v>
      </c>
      <c r="G3" s="65" t="s">
        <v>204</v>
      </c>
      <c r="H3" s="65" t="s">
        <v>205</v>
      </c>
      <c r="I3" s="130" t="s">
        <v>207</v>
      </c>
      <c r="J3" s="66" t="s">
        <v>168</v>
      </c>
      <c r="K3" s="66" t="s">
        <v>169</v>
      </c>
      <c r="L3" s="132" t="s">
        <v>218</v>
      </c>
      <c r="M3" s="132" t="s">
        <v>217</v>
      </c>
      <c r="N3" s="64" t="s">
        <v>170</v>
      </c>
      <c r="O3" s="64" t="s">
        <v>171</v>
      </c>
      <c r="P3" s="92" t="s">
        <v>220</v>
      </c>
    </row>
    <row r="4" spans="1:16" x14ac:dyDescent="0.35">
      <c r="A4" s="67">
        <v>46076</v>
      </c>
      <c r="B4" s="68" t="s">
        <v>202</v>
      </c>
      <c r="C4" s="69">
        <v>0</v>
      </c>
      <c r="D4" s="69">
        <v>2</v>
      </c>
      <c r="E4" s="122">
        <f>Tabela_Fevereiro88[[#This Row],[Até:]]-Tabela_Fevereiro88[[#This Row],[De:]]</f>
        <v>2</v>
      </c>
      <c r="F4" s="69" t="s">
        <v>208</v>
      </c>
      <c r="I4" s="117">
        <f>Tabela_Fevereiro88[[#This Row],[Até]]-Tabela_Fevereiro88[[#This Row],[De]]</f>
        <v>0</v>
      </c>
      <c r="J4" s="112">
        <v>0.4548611111111111</v>
      </c>
      <c r="K4" s="112">
        <v>0.47222222222222221</v>
      </c>
      <c r="L4" s="126">
        <f>Tabela_Fevereiro88[[#This Row],[Horário Término]]-Tabela_Fevereiro88[[#This Row],[Horário Inicio]]</f>
        <v>1.7361111111111105E-2</v>
      </c>
    </row>
    <row r="5" spans="1:16" x14ac:dyDescent="0.35">
      <c r="A5" s="67"/>
      <c r="B5" s="68" t="s">
        <v>202</v>
      </c>
      <c r="C5" s="70">
        <v>2</v>
      </c>
      <c r="D5" s="70">
        <v>3.3</v>
      </c>
      <c r="E5" s="123">
        <f>Tabela_Fevereiro88[[#This Row],[Até:]]-Tabela_Fevereiro88[[#This Row],[De:]]</f>
        <v>1.2999999999999998</v>
      </c>
      <c r="F5" s="69" t="s">
        <v>208</v>
      </c>
      <c r="G5" s="70"/>
      <c r="H5" s="70"/>
      <c r="I5" s="118">
        <f>Tabela_Fevereiro88[[#This Row],[Até]]-Tabela_Fevereiro88[[#This Row],[De]]</f>
        <v>0</v>
      </c>
      <c r="J5" s="113">
        <v>0.54861111111111116</v>
      </c>
      <c r="K5" s="113">
        <v>0.56944444444444442</v>
      </c>
      <c r="L5" s="127">
        <f>Tabela_Fevereiro88[[#This Row],[Horário Término]]-Tabela_Fevereiro88[[#This Row],[Horário Inicio]]</f>
        <v>2.0833333333333259E-2</v>
      </c>
      <c r="M5" s="116"/>
      <c r="N5" s="71"/>
      <c r="O5" s="71"/>
    </row>
    <row r="6" spans="1:16" x14ac:dyDescent="0.35">
      <c r="A6" s="67"/>
      <c r="B6" s="68" t="s">
        <v>202</v>
      </c>
      <c r="C6" s="72">
        <v>3.3</v>
      </c>
      <c r="D6" s="72">
        <v>6.2</v>
      </c>
      <c r="E6" s="124">
        <f>Tabela_Fevereiro88[[#This Row],[Até:]]-Tabela_Fevereiro88[[#This Row],[De:]]</f>
        <v>2.9000000000000004</v>
      </c>
      <c r="F6" s="69" t="s">
        <v>208</v>
      </c>
      <c r="G6" s="72"/>
      <c r="H6" s="72"/>
      <c r="I6" s="119">
        <f>Tabela_Fevereiro88[[#This Row],[Até]]-Tabela_Fevereiro88[[#This Row],[De]]</f>
        <v>0</v>
      </c>
      <c r="J6" s="111">
        <v>0.65277777777777779</v>
      </c>
      <c r="K6" s="111">
        <v>0.74652777777777779</v>
      </c>
      <c r="L6" s="128">
        <f>Tabela_Fevereiro88[[#This Row],[Horário Término]]-Tabela_Fevereiro88[[#This Row],[Horário Inicio]]</f>
        <v>9.375E-2</v>
      </c>
      <c r="M6" s="104"/>
      <c r="N6" s="2"/>
      <c r="O6" s="2"/>
    </row>
    <row r="7" spans="1:16" x14ac:dyDescent="0.35">
      <c r="A7" s="67">
        <v>46077</v>
      </c>
      <c r="B7" s="68" t="s">
        <v>172</v>
      </c>
      <c r="C7" s="72">
        <v>6.2</v>
      </c>
      <c r="D7" s="72">
        <v>9.1999999999999993</v>
      </c>
      <c r="E7" s="124">
        <f>Tabela_Fevereiro88[[#This Row],[Até:]]-Tabela_Fevereiro88[[#This Row],[De:]]</f>
        <v>2.9999999999999991</v>
      </c>
      <c r="F7" s="69" t="s">
        <v>208</v>
      </c>
      <c r="G7" s="72"/>
      <c r="H7" s="72"/>
      <c r="I7" s="119">
        <f>Tabela_Fevereiro88[[#This Row],[Até]]-Tabela_Fevereiro88[[#This Row],[De]]</f>
        <v>0</v>
      </c>
      <c r="J7" s="111">
        <v>0.29166666666666669</v>
      </c>
      <c r="K7" s="111">
        <v>0.54166666666666663</v>
      </c>
      <c r="L7" s="128">
        <f>Tabela_Fevereiro88[[#This Row],[Horário Término]]-Tabela_Fevereiro88[[#This Row],[Horário Inicio]]</f>
        <v>0.24999999999999994</v>
      </c>
      <c r="M7" s="104"/>
      <c r="N7" s="2"/>
      <c r="O7" s="2"/>
      <c r="P7" t="s">
        <v>211</v>
      </c>
    </row>
    <row r="8" spans="1:16" x14ac:dyDescent="0.35">
      <c r="A8" s="67"/>
      <c r="B8" s="68" t="s">
        <v>203</v>
      </c>
      <c r="C8" s="72"/>
      <c r="D8" s="72"/>
      <c r="E8" s="124">
        <f>Tabela_Fevereiro88[[#This Row],[Até:]]-Tabela_Fevereiro88[[#This Row],[De:]]</f>
        <v>0</v>
      </c>
      <c r="F8" s="72" t="s">
        <v>209</v>
      </c>
      <c r="G8" s="72">
        <v>0</v>
      </c>
      <c r="H8" s="72">
        <v>4</v>
      </c>
      <c r="I8" s="119">
        <f>Tabela_Fevereiro88[[#This Row],[Até]]-Tabela_Fevereiro88[[#This Row],[De]]</f>
        <v>4</v>
      </c>
      <c r="J8" s="111"/>
      <c r="K8" s="111"/>
      <c r="L8" s="128">
        <f>Tabela_Fevereiro88[[#This Row],[Horário Término]]-Tabela_Fevereiro88[[#This Row],[Horário Inicio]]</f>
        <v>0</v>
      </c>
      <c r="M8" s="104">
        <v>3.8194444444444448E-2</v>
      </c>
      <c r="N8" s="2"/>
      <c r="O8" s="2"/>
      <c r="P8" t="s">
        <v>210</v>
      </c>
    </row>
    <row r="9" spans="1:16" x14ac:dyDescent="0.35">
      <c r="A9" s="67">
        <v>46078</v>
      </c>
      <c r="B9" s="68" t="s">
        <v>203</v>
      </c>
      <c r="C9" s="72"/>
      <c r="D9" s="72"/>
      <c r="E9" s="124">
        <f>Tabela_Fevereiro88[[#This Row],[Até:]]-Tabela_Fevereiro88[[#This Row],[De:]]</f>
        <v>0</v>
      </c>
      <c r="F9" s="72" t="s">
        <v>209</v>
      </c>
      <c r="G9" s="72">
        <v>4</v>
      </c>
      <c r="H9" s="72">
        <v>4.25</v>
      </c>
      <c r="I9" s="119">
        <f>Tabela_Fevereiro88[[#This Row],[Até]]-Tabela_Fevereiro88[[#This Row],[De]]</f>
        <v>0.25</v>
      </c>
      <c r="J9" s="111"/>
      <c r="K9" s="111"/>
      <c r="L9" s="128">
        <f>Tabela_Fevereiro88[[#This Row],[Horário Término]]-Tabela_Fevereiro88[[#This Row],[Horário Inicio]]</f>
        <v>0</v>
      </c>
      <c r="M9" s="104">
        <v>2.0833333333333332E-2</v>
      </c>
      <c r="N9" s="2"/>
      <c r="O9" s="2"/>
      <c r="P9" s="28" t="s">
        <v>219</v>
      </c>
    </row>
    <row r="10" spans="1:16" x14ac:dyDescent="0.35">
      <c r="A10" s="67"/>
      <c r="B10" s="68" t="s">
        <v>203</v>
      </c>
      <c r="C10" s="72"/>
      <c r="D10" s="72"/>
      <c r="E10" s="124">
        <f>Tabela_Fevereiro88[[#This Row],[Até:]]-Tabela_Fevereiro88[[#This Row],[De:]]</f>
        <v>0</v>
      </c>
      <c r="F10" s="72" t="s">
        <v>209</v>
      </c>
      <c r="G10" s="72">
        <v>4.25</v>
      </c>
      <c r="H10" s="72">
        <v>6.7</v>
      </c>
      <c r="I10" s="119">
        <f>Tabela_Fevereiro88[[#This Row],[Até]]-Tabela_Fevereiro88[[#This Row],[De]]</f>
        <v>2.4500000000000002</v>
      </c>
      <c r="J10" s="111"/>
      <c r="K10" s="111"/>
      <c r="L10" s="128">
        <f>Tabela_Fevereiro88[[#This Row],[Horário Término]]-Tabela_Fevereiro88[[#This Row],[Horário Inicio]]</f>
        <v>0</v>
      </c>
      <c r="M10" s="104">
        <v>1.3888888888888888E-2</v>
      </c>
      <c r="N10" s="2"/>
      <c r="O10" s="2"/>
    </row>
    <row r="11" spans="1:16" x14ac:dyDescent="0.35">
      <c r="A11" s="67"/>
      <c r="B11" s="68" t="s">
        <v>203</v>
      </c>
      <c r="C11" s="72"/>
      <c r="D11" s="72"/>
      <c r="E11" s="124">
        <f>Tabela_Fevereiro88[[#This Row],[Até:]]-Tabela_Fevereiro88[[#This Row],[De:]]</f>
        <v>0</v>
      </c>
      <c r="F11" s="72" t="s">
        <v>209</v>
      </c>
      <c r="G11" s="72">
        <v>6.7</v>
      </c>
      <c r="H11" s="72">
        <v>7.29</v>
      </c>
      <c r="I11" s="119">
        <f>Tabela_Fevereiro88[[#This Row],[Até]]-Tabela_Fevereiro88[[#This Row],[De]]</f>
        <v>0.58999999999999986</v>
      </c>
      <c r="J11" s="111"/>
      <c r="K11" s="111"/>
      <c r="L11" s="128">
        <f>Tabela_Fevereiro88[[#This Row],[Horário Término]]-Tabela_Fevereiro88[[#This Row],[Horário Inicio]]</f>
        <v>0</v>
      </c>
      <c r="M11" s="104">
        <v>4.5138888888888888E-2</v>
      </c>
      <c r="N11" s="2"/>
      <c r="O11" s="2"/>
    </row>
    <row r="12" spans="1:16" x14ac:dyDescent="0.35">
      <c r="A12" s="67">
        <v>46079</v>
      </c>
      <c r="B12" s="68" t="s">
        <v>223</v>
      </c>
      <c r="C12" s="72"/>
      <c r="D12" s="72"/>
      <c r="E12" s="124">
        <f>Tabela_Fevereiro88[[#This Row],[Até:]]-Tabela_Fevereiro88[[#This Row],[De:]]</f>
        <v>0</v>
      </c>
      <c r="F12" s="72" t="s">
        <v>209</v>
      </c>
      <c r="G12" s="72">
        <v>0</v>
      </c>
      <c r="H12" s="72">
        <v>9</v>
      </c>
      <c r="I12" s="119">
        <f>Tabela_Fevereiro88[[#This Row],[Até]]-Tabela_Fevereiro88[[#This Row],[De]]</f>
        <v>9</v>
      </c>
      <c r="J12" s="111"/>
      <c r="K12" s="111"/>
      <c r="L12" s="128">
        <f>Tabela_Fevereiro88[[#This Row],[Horário Término]]-Tabela_Fevereiro88[[#This Row],[Horário Inicio]]</f>
        <v>0</v>
      </c>
      <c r="M12" s="104">
        <v>0.25347222222222221</v>
      </c>
      <c r="N12" s="2"/>
      <c r="O12" s="2"/>
      <c r="P12" t="s">
        <v>224</v>
      </c>
    </row>
    <row r="13" spans="1:16" x14ac:dyDescent="0.35">
      <c r="A13" s="3">
        <v>46084</v>
      </c>
      <c r="B13" s="68" t="s">
        <v>172</v>
      </c>
      <c r="C13" s="72">
        <v>9.1999999999999993</v>
      </c>
      <c r="D13" s="72">
        <v>11</v>
      </c>
      <c r="E13" s="124">
        <f>Tabela_Fevereiro88[[#This Row],[Até:]]-Tabela_Fevereiro88[[#This Row],[De:]]</f>
        <v>1.8000000000000007</v>
      </c>
      <c r="F13" s="72" t="s">
        <v>208</v>
      </c>
      <c r="G13" s="72"/>
      <c r="H13" s="72"/>
      <c r="I13" s="119">
        <f>Tabela_Fevereiro88[[#This Row],[Até]]-Tabela_Fevereiro88[[#This Row],[De]]</f>
        <v>0</v>
      </c>
      <c r="J13" s="111">
        <v>0.63888888888888884</v>
      </c>
      <c r="K13" s="111">
        <v>0.65138888888888891</v>
      </c>
      <c r="L13" s="128">
        <f>Tabela_Fevereiro88[[#This Row],[Horário Término]]-Tabela_Fevereiro88[[#This Row],[Horário Inicio]]</f>
        <v>1.2500000000000067E-2</v>
      </c>
      <c r="M13" s="104"/>
      <c r="N13" s="2"/>
      <c r="O13" s="2"/>
    </row>
    <row r="14" spans="1:16" x14ac:dyDescent="0.35">
      <c r="A14" s="3"/>
      <c r="B14" s="68" t="s">
        <v>172</v>
      </c>
      <c r="C14" s="72">
        <v>11</v>
      </c>
      <c r="D14" s="72">
        <v>13.3</v>
      </c>
      <c r="E14" s="124">
        <f>Tabela_Fevereiro88[[#This Row],[Até:]]-Tabela_Fevereiro88[[#This Row],[De:]]</f>
        <v>2.3000000000000007</v>
      </c>
      <c r="F14" s="72" t="s">
        <v>208</v>
      </c>
      <c r="G14" s="72"/>
      <c r="H14" s="72"/>
      <c r="I14" s="119">
        <f>Tabela_Fevereiro88[[#This Row],[Até]]-Tabela_Fevereiro88[[#This Row],[De]]</f>
        <v>0</v>
      </c>
      <c r="J14" s="111">
        <v>0.68263888888888891</v>
      </c>
      <c r="K14" s="111">
        <v>0.73611111111111116</v>
      </c>
      <c r="L14" s="128">
        <f>Tabela_Fevereiro88[[#This Row],[Horário Término]]-Tabela_Fevereiro88[[#This Row],[Horário Inicio]]</f>
        <v>5.3472222222222254E-2</v>
      </c>
      <c r="M14" s="104"/>
      <c r="N14" s="2"/>
      <c r="O14" s="2"/>
    </row>
    <row r="15" spans="1:16" x14ac:dyDescent="0.35">
      <c r="A15" s="3"/>
      <c r="B15" s="68" t="s">
        <v>172</v>
      </c>
      <c r="C15" s="72">
        <v>13.3</v>
      </c>
      <c r="D15" s="72">
        <v>14</v>
      </c>
      <c r="E15" s="124">
        <f>Tabela_Fevereiro88[[#This Row],[Até:]]-Tabela_Fevereiro88[[#This Row],[De:]]</f>
        <v>0.69999999999999929</v>
      </c>
      <c r="F15" s="72" t="s">
        <v>208</v>
      </c>
      <c r="G15" s="72"/>
      <c r="H15" s="72"/>
      <c r="I15" s="119">
        <f>Tabela_Fevereiro88[[#This Row],[Até]]-Tabela_Fevereiro88[[#This Row],[De]]</f>
        <v>0</v>
      </c>
      <c r="J15" s="111">
        <v>0.75</v>
      </c>
      <c r="K15" s="111">
        <v>0.77083333333333337</v>
      </c>
      <c r="L15" s="128">
        <f>Tabela_Fevereiro88[[#This Row],[Horário Término]]-Tabela_Fevereiro88[[#This Row],[Horário Inicio]]</f>
        <v>2.083333333333337E-2</v>
      </c>
      <c r="M15" s="104"/>
      <c r="N15" s="2"/>
      <c r="O15" s="2"/>
    </row>
    <row r="16" spans="1:16" x14ac:dyDescent="0.35">
      <c r="A16" s="3">
        <v>46085</v>
      </c>
      <c r="B16" s="68" t="s">
        <v>172</v>
      </c>
      <c r="C16" s="72">
        <v>14</v>
      </c>
      <c r="D16" s="72">
        <v>15.5</v>
      </c>
      <c r="E16" s="124">
        <f>Tabela_Fevereiro88[[#This Row],[Até:]]-Tabela_Fevereiro88[[#This Row],[De:]]</f>
        <v>1.5</v>
      </c>
      <c r="F16" s="72" t="s">
        <v>208</v>
      </c>
      <c r="G16" s="72"/>
      <c r="H16" s="72"/>
      <c r="I16" s="119">
        <f>Tabela_Fevereiro88[[#This Row],[Até]]-Tabela_Fevereiro88[[#This Row],[De]]</f>
        <v>0</v>
      </c>
      <c r="J16" s="111">
        <v>0.41666666666666669</v>
      </c>
      <c r="K16" s="111">
        <v>0.43402777777777779</v>
      </c>
      <c r="L16" s="128">
        <f>Tabela_Fevereiro88[[#This Row],[Horário Término]]-Tabela_Fevereiro88[[#This Row],[Horário Inicio]]</f>
        <v>1.7361111111111105E-2</v>
      </c>
      <c r="M16" s="104"/>
      <c r="N16" s="2"/>
      <c r="O16" s="2"/>
    </row>
    <row r="17" spans="1:16" x14ac:dyDescent="0.35">
      <c r="A17" s="3"/>
      <c r="B17" s="68" t="s">
        <v>172</v>
      </c>
      <c r="C17" s="72">
        <v>15.5</v>
      </c>
      <c r="D17" s="72">
        <v>22.5</v>
      </c>
      <c r="E17" s="124">
        <f>Tabela_Fevereiro88[[#This Row],[Até:]]-Tabela_Fevereiro88[[#This Row],[De:]]</f>
        <v>7</v>
      </c>
      <c r="F17" s="72" t="s">
        <v>208</v>
      </c>
      <c r="G17" s="72"/>
      <c r="H17" s="72"/>
      <c r="I17" s="119">
        <f>Tabela_Fevereiro88[[#This Row],[Até]]-Tabela_Fevereiro88[[#This Row],[De]]</f>
        <v>0</v>
      </c>
      <c r="J17" s="111">
        <v>0.52777777777777779</v>
      </c>
      <c r="K17" s="111">
        <v>0.69444444444444442</v>
      </c>
      <c r="L17" s="128">
        <f>Tabela_Fevereiro88[[#This Row],[Horário Término]]-Tabela_Fevereiro88[[#This Row],[Horário Inicio]]</f>
        <v>0.16666666666666663</v>
      </c>
      <c r="M17" s="104"/>
      <c r="N17" s="2"/>
      <c r="O17" s="2"/>
    </row>
    <row r="18" spans="1:16" x14ac:dyDescent="0.35">
      <c r="A18" s="3"/>
      <c r="B18" s="68" t="s">
        <v>172</v>
      </c>
      <c r="C18" s="72">
        <v>22.5</v>
      </c>
      <c r="D18" s="72">
        <v>26</v>
      </c>
      <c r="E18" s="124">
        <f>Tabela_Fevereiro88[[#This Row],[Até:]]-Tabela_Fevereiro88[[#This Row],[De:]]</f>
        <v>3.5</v>
      </c>
      <c r="F18" s="72" t="s">
        <v>208</v>
      </c>
      <c r="G18" s="72"/>
      <c r="H18" s="72"/>
      <c r="I18" s="119">
        <f>Tabela_Fevereiro88[[#This Row],[Até]]-Tabela_Fevereiro88[[#This Row],[De]]</f>
        <v>0</v>
      </c>
      <c r="J18" s="111">
        <v>0.73611111111111116</v>
      </c>
      <c r="K18" s="111">
        <v>0.77083333333333337</v>
      </c>
      <c r="L18" s="128">
        <f>Tabela_Fevereiro88[[#This Row],[Horário Término]]-Tabela_Fevereiro88[[#This Row],[Horário Inicio]]</f>
        <v>3.472222222222221E-2</v>
      </c>
      <c r="M18" s="104"/>
      <c r="N18" s="2"/>
      <c r="O18" s="2"/>
    </row>
    <row r="19" spans="1:16" x14ac:dyDescent="0.35">
      <c r="A19" s="3">
        <v>46086</v>
      </c>
      <c r="B19" s="68" t="s">
        <v>172</v>
      </c>
      <c r="C19" s="72">
        <v>26</v>
      </c>
      <c r="D19" s="72">
        <v>29.54</v>
      </c>
      <c r="E19" s="124">
        <f>Tabela_Fevereiro88[[#This Row],[Até:]]-Tabela_Fevereiro88[[#This Row],[De:]]</f>
        <v>3.5399999999999991</v>
      </c>
      <c r="F19" s="72" t="s">
        <v>208</v>
      </c>
      <c r="G19" s="72"/>
      <c r="H19" s="72"/>
      <c r="I19" s="119">
        <f>Tabela_Fevereiro88[[#This Row],[Até]]-Tabela_Fevereiro88[[#This Row],[De]]</f>
        <v>0</v>
      </c>
      <c r="J19" s="111">
        <v>0.3611111111111111</v>
      </c>
      <c r="K19" s="111">
        <v>0.41666666666666669</v>
      </c>
      <c r="L19" s="128">
        <f>Tabela_Fevereiro88[[#This Row],[Horário Término]]-Tabela_Fevereiro88[[#This Row],[Horário Inicio]]</f>
        <v>5.555555555555558E-2</v>
      </c>
      <c r="M19" s="104"/>
      <c r="N19" s="2"/>
      <c r="O19" s="2"/>
    </row>
    <row r="20" spans="1:16" x14ac:dyDescent="0.35">
      <c r="A20" s="3">
        <v>46088</v>
      </c>
      <c r="B20" s="68" t="s">
        <v>172</v>
      </c>
      <c r="C20" s="72">
        <v>29.54</v>
      </c>
      <c r="D20" s="72">
        <v>36.54</v>
      </c>
      <c r="E20" s="124">
        <f>Tabela_Fevereiro88[[#This Row],[Até:]]-Tabela_Fevereiro88[[#This Row],[De:]]</f>
        <v>7</v>
      </c>
      <c r="F20" s="72" t="s">
        <v>208</v>
      </c>
      <c r="G20" s="72"/>
      <c r="H20" s="72"/>
      <c r="I20" s="119">
        <f>Tabela_Fevereiro88[[#This Row],[Até]]-Tabela_Fevereiro88[[#This Row],[De]]</f>
        <v>0</v>
      </c>
      <c r="J20" s="111">
        <v>0.3923611111111111</v>
      </c>
      <c r="K20" s="111">
        <v>0.44444444444444442</v>
      </c>
      <c r="L20" s="128">
        <f>Tabela_Fevereiro88[[#This Row],[Horário Término]]-Tabela_Fevereiro88[[#This Row],[Horário Inicio]]</f>
        <v>5.2083333333333315E-2</v>
      </c>
      <c r="M20" s="104"/>
      <c r="N20" s="2"/>
      <c r="O20" s="2"/>
    </row>
    <row r="21" spans="1:16" x14ac:dyDescent="0.35">
      <c r="A21" s="3"/>
      <c r="B21" s="68" t="s">
        <v>172</v>
      </c>
      <c r="C21" s="72">
        <v>36.54</v>
      </c>
      <c r="D21" s="72">
        <v>43.46</v>
      </c>
      <c r="E21" s="124">
        <f>Tabela_Fevereiro88[[#This Row],[Até:]]-Tabela_Fevereiro88[[#This Row],[De:]]</f>
        <v>6.9200000000000017</v>
      </c>
      <c r="F21" s="72" t="s">
        <v>208</v>
      </c>
      <c r="G21" s="72"/>
      <c r="H21" s="72"/>
      <c r="I21" s="119">
        <f>Tabela_Fevereiro88[[#This Row],[Até]]-Tabela_Fevereiro88[[#This Row],[De]]</f>
        <v>0</v>
      </c>
      <c r="J21" s="111">
        <v>0.54166666666666663</v>
      </c>
      <c r="K21" s="111">
        <v>0.61111111111111116</v>
      </c>
      <c r="L21" s="128">
        <f>Tabela_Fevereiro88[[#This Row],[Horário Término]]-Tabela_Fevereiro88[[#This Row],[Horário Inicio]]</f>
        <v>6.9444444444444531E-2</v>
      </c>
      <c r="M21" s="104"/>
      <c r="N21" s="2"/>
      <c r="O21" s="2"/>
    </row>
    <row r="22" spans="1:16" x14ac:dyDescent="0.35">
      <c r="A22" s="3"/>
      <c r="B22" s="68" t="s">
        <v>172</v>
      </c>
      <c r="C22" s="72">
        <v>43.46</v>
      </c>
      <c r="D22" s="72">
        <v>47</v>
      </c>
      <c r="E22" s="124">
        <f>Tabela_Fevereiro88[[#This Row],[Até:]]-Tabela_Fevereiro88[[#This Row],[De:]]</f>
        <v>3.5399999999999991</v>
      </c>
      <c r="F22" s="72" t="s">
        <v>208</v>
      </c>
      <c r="G22" s="72"/>
      <c r="H22" s="72"/>
      <c r="I22" s="119">
        <f>Tabela_Fevereiro88[[#This Row],[Até]]-Tabela_Fevereiro88[[#This Row],[De]]</f>
        <v>0</v>
      </c>
      <c r="J22" s="111">
        <v>0.73611111111111116</v>
      </c>
      <c r="K22" s="111">
        <v>0.77430555555555558</v>
      </c>
      <c r="L22" s="128">
        <f>Tabela_Fevereiro88[[#This Row],[Horário Término]]-Tabela_Fevereiro88[[#This Row],[Horário Inicio]]</f>
        <v>3.819444444444442E-2</v>
      </c>
      <c r="M22" s="104"/>
      <c r="N22" s="2"/>
      <c r="O22" s="2"/>
    </row>
    <row r="23" spans="1:16" x14ac:dyDescent="0.35">
      <c r="A23" s="3">
        <v>46089</v>
      </c>
      <c r="B23" s="68" t="s">
        <v>172</v>
      </c>
      <c r="C23" s="72">
        <v>47</v>
      </c>
      <c r="D23" s="72">
        <v>50</v>
      </c>
      <c r="E23" s="124">
        <f>Tabela_Fevereiro88[[#This Row],[Até:]]-Tabela_Fevereiro88[[#This Row],[De:]]</f>
        <v>3</v>
      </c>
      <c r="F23" s="72" t="s">
        <v>208</v>
      </c>
      <c r="G23" s="72"/>
      <c r="H23" s="72"/>
      <c r="I23" s="119">
        <f>Tabela_Fevereiro88[[#This Row],[Até]]-Tabela_Fevereiro88[[#This Row],[De]]</f>
        <v>0</v>
      </c>
      <c r="J23" s="111">
        <v>0.375</v>
      </c>
      <c r="K23" s="111">
        <v>0.40625</v>
      </c>
      <c r="L23" s="128">
        <f>Tabela_Fevereiro88[[#This Row],[Horário Término]]-Tabela_Fevereiro88[[#This Row],[Horário Inicio]]</f>
        <v>3.125E-2</v>
      </c>
      <c r="M23" s="104"/>
      <c r="N23" s="2"/>
      <c r="O23" s="2"/>
    </row>
    <row r="24" spans="1:16" x14ac:dyDescent="0.35">
      <c r="A24" s="3"/>
      <c r="B24" s="68" t="s">
        <v>172</v>
      </c>
      <c r="C24" s="72">
        <v>50</v>
      </c>
      <c r="D24" s="72">
        <v>52</v>
      </c>
      <c r="E24" s="124">
        <f>Tabela_Fevereiro88[[#This Row],[Até:]]-Tabela_Fevereiro88[[#This Row],[De:]]</f>
        <v>2</v>
      </c>
      <c r="F24" s="72" t="s">
        <v>208</v>
      </c>
      <c r="G24" s="72"/>
      <c r="H24" s="72"/>
      <c r="I24" s="119">
        <f>Tabela_Fevereiro88[[#This Row],[Até]]-Tabela_Fevereiro88[[#This Row],[De]]</f>
        <v>0</v>
      </c>
      <c r="J24" s="111">
        <v>0.4375</v>
      </c>
      <c r="K24" s="111">
        <v>0.4513888888888889</v>
      </c>
      <c r="L24" s="128">
        <f>Tabela_Fevereiro88[[#This Row],[Horário Término]]-Tabela_Fevereiro88[[#This Row],[Horário Inicio]]</f>
        <v>1.3888888888888895E-2</v>
      </c>
      <c r="M24" s="104"/>
      <c r="N24" s="2"/>
      <c r="O24" s="2"/>
    </row>
    <row r="25" spans="1:16" x14ac:dyDescent="0.35">
      <c r="A25" s="3">
        <v>46090</v>
      </c>
      <c r="B25" s="68" t="s">
        <v>172</v>
      </c>
      <c r="C25" s="72">
        <v>52</v>
      </c>
      <c r="D25" s="72">
        <v>60</v>
      </c>
      <c r="E25" s="124">
        <f>Tabela_Fevereiro88[[#This Row],[Até:]]-Tabela_Fevereiro88[[#This Row],[De:]]</f>
        <v>8</v>
      </c>
      <c r="F25" s="72" t="s">
        <v>208</v>
      </c>
      <c r="G25" s="72"/>
      <c r="H25" s="72"/>
      <c r="I25" s="119">
        <f>Tabela_Fevereiro88[[#This Row],[Até]]-Tabela_Fevereiro88[[#This Row],[De]]</f>
        <v>0</v>
      </c>
      <c r="J25" s="111">
        <v>0.3576388888888889</v>
      </c>
      <c r="K25" s="111">
        <v>0.4375</v>
      </c>
      <c r="L25" s="128">
        <f>Tabela_Fevereiro88[[#This Row],[Horário Término]]-Tabela_Fevereiro88[[#This Row],[Horário Inicio]]</f>
        <v>7.9861111111111105E-2</v>
      </c>
      <c r="M25" s="104"/>
      <c r="N25" s="2"/>
      <c r="O25" s="2"/>
    </row>
    <row r="26" spans="1:16" x14ac:dyDescent="0.35">
      <c r="A26" s="3"/>
      <c r="B26" s="68" t="s">
        <v>172</v>
      </c>
      <c r="C26" s="72">
        <v>60</v>
      </c>
      <c r="D26" s="72">
        <v>63</v>
      </c>
      <c r="E26" s="124">
        <f>Tabela_Fevereiro88[[#This Row],[Até:]]-Tabela_Fevereiro88[[#This Row],[De:]]</f>
        <v>3</v>
      </c>
      <c r="F26" s="72" t="s">
        <v>208</v>
      </c>
      <c r="G26" s="72"/>
      <c r="H26" s="72"/>
      <c r="I26" s="119">
        <f>Tabela_Fevereiro88[[#This Row],[Até]]-Tabela_Fevereiro88[[#This Row],[De]]</f>
        <v>0</v>
      </c>
      <c r="J26" s="111">
        <v>0.57638888888888884</v>
      </c>
      <c r="K26" s="111">
        <v>0.58680555555555558</v>
      </c>
      <c r="L26" s="128">
        <f>Tabela_Fevereiro88[[#This Row],[Horário Término]]-Tabela_Fevereiro88[[#This Row],[Horário Inicio]]</f>
        <v>1.0416666666666741E-2</v>
      </c>
      <c r="M26" s="104"/>
      <c r="N26" s="2"/>
      <c r="O26" s="2"/>
    </row>
    <row r="27" spans="1:16" x14ac:dyDescent="0.35">
      <c r="A27" s="3">
        <v>46091</v>
      </c>
      <c r="B27" s="68" t="s">
        <v>172</v>
      </c>
      <c r="C27" s="72">
        <v>63</v>
      </c>
      <c r="D27" s="72">
        <v>68</v>
      </c>
      <c r="E27" s="124">
        <f>Tabela_Fevereiro88[[#This Row],[Até:]]-Tabela_Fevereiro88[[#This Row],[De:]]</f>
        <v>5</v>
      </c>
      <c r="F27" s="72" t="s">
        <v>208</v>
      </c>
      <c r="G27" s="72"/>
      <c r="H27" s="72"/>
      <c r="I27" s="119">
        <f>Tabela_Fevereiro88[[#This Row],[Até]]-Tabela_Fevereiro88[[#This Row],[De]]</f>
        <v>0</v>
      </c>
      <c r="J27" s="111">
        <v>0.3263888888888889</v>
      </c>
      <c r="K27" s="111">
        <v>0.37152777777777779</v>
      </c>
      <c r="L27" s="128">
        <f>Tabela_Fevereiro88[[#This Row],[Horário Término]]-Tabela_Fevereiro88[[#This Row],[Horário Inicio]]</f>
        <v>4.5138888888888895E-2</v>
      </c>
      <c r="M27" s="104"/>
      <c r="N27" s="2"/>
      <c r="O27" s="2"/>
      <c r="P27" s="110" t="s">
        <v>229</v>
      </c>
    </row>
    <row r="28" spans="1:16" x14ac:dyDescent="0.35">
      <c r="A28" s="3">
        <v>46103</v>
      </c>
      <c r="B28" s="68" t="s">
        <v>203</v>
      </c>
      <c r="C28" s="72">
        <v>68</v>
      </c>
      <c r="D28" s="72">
        <v>94</v>
      </c>
      <c r="E28" s="124">
        <f>Tabela_Fevereiro88[[#This Row],[Até:]]-Tabela_Fevereiro88[[#This Row],[De:]]</f>
        <v>26</v>
      </c>
      <c r="F28" s="72" t="s">
        <v>208</v>
      </c>
      <c r="G28" s="72"/>
      <c r="H28" s="72"/>
      <c r="I28" s="119">
        <f>Tabela_Fevereiro88[[#This Row],[Até]]-Tabela_Fevereiro88[[#This Row],[De]]</f>
        <v>0</v>
      </c>
      <c r="J28" s="111">
        <v>0.49305555555555558</v>
      </c>
      <c r="K28" s="111">
        <v>0.72847222222222219</v>
      </c>
      <c r="L28" s="128">
        <f>Tabela_Fevereiro88[[#This Row],[Horário Término]]-Tabela_Fevereiro88[[#This Row],[Horário Inicio]]</f>
        <v>0.23541666666666661</v>
      </c>
      <c r="M28" s="104"/>
      <c r="N28" s="2"/>
      <c r="O28" s="2"/>
    </row>
    <row r="29" spans="1:16" ht="14" customHeight="1" x14ac:dyDescent="0.35">
      <c r="A29" s="3">
        <v>46104</v>
      </c>
      <c r="B29" s="68" t="s">
        <v>203</v>
      </c>
      <c r="C29" s="72">
        <v>94</v>
      </c>
      <c r="D29" s="72">
        <v>95.26</v>
      </c>
      <c r="E29" s="124">
        <f>Tabela_Fevereiro88[[#This Row],[Até:]]-Tabela_Fevereiro88[[#This Row],[De:]]</f>
        <v>1.2600000000000051</v>
      </c>
      <c r="F29" s="72" t="s">
        <v>208</v>
      </c>
      <c r="G29" s="72"/>
      <c r="H29" s="72"/>
      <c r="I29" s="119">
        <f>Tabela_Fevereiro88[[#This Row],[Até]]-Tabela_Fevereiro88[[#This Row],[De]]</f>
        <v>0</v>
      </c>
      <c r="J29" s="111">
        <v>0.34375</v>
      </c>
      <c r="K29" s="111">
        <v>0.35416666666666669</v>
      </c>
      <c r="L29" s="128">
        <f>Tabela_Fevereiro88[[#This Row],[Horário Término]]-Tabela_Fevereiro88[[#This Row],[Horário Inicio]]</f>
        <v>1.0416666666666685E-2</v>
      </c>
      <c r="M29" s="104"/>
      <c r="N29" s="2"/>
      <c r="O29" s="2"/>
    </row>
    <row r="30" spans="1:16" ht="14" customHeight="1" x14ac:dyDescent="0.35">
      <c r="A30" s="3"/>
      <c r="B30" s="68" t="s">
        <v>203</v>
      </c>
      <c r="C30" s="72">
        <v>95.26</v>
      </c>
      <c r="D30" s="72">
        <v>126</v>
      </c>
      <c r="E30" s="124">
        <f>Tabela_Fevereiro88[[#This Row],[Até:]]-Tabela_Fevereiro88[[#This Row],[De:]]</f>
        <v>30.739999999999995</v>
      </c>
      <c r="F30" s="72" t="s">
        <v>208</v>
      </c>
      <c r="G30" s="72"/>
      <c r="H30" s="72"/>
      <c r="I30" s="119">
        <f>Tabela_Fevereiro88[[#This Row],[Até]]-Tabela_Fevereiro88[[#This Row],[De]]</f>
        <v>0</v>
      </c>
      <c r="J30" s="111">
        <v>0.4375</v>
      </c>
      <c r="K30" s="111">
        <v>0.79513888888888884</v>
      </c>
      <c r="L30" s="128">
        <f>Tabela_Fevereiro88[[#This Row],[Horário Término]]-Tabela_Fevereiro88[[#This Row],[Horário Inicio]]</f>
        <v>0.35763888888888884</v>
      </c>
      <c r="M30" s="104"/>
      <c r="N30" s="2"/>
      <c r="O30" s="2"/>
    </row>
    <row r="31" spans="1:16" ht="14" customHeight="1" x14ac:dyDescent="0.35">
      <c r="A31" s="3">
        <v>46105</v>
      </c>
      <c r="B31" s="68" t="s">
        <v>203</v>
      </c>
      <c r="C31" s="72">
        <v>126</v>
      </c>
      <c r="D31" s="72">
        <v>142.88</v>
      </c>
      <c r="E31" s="124">
        <f>Tabela_Fevereiro88[[#This Row],[Até:]]-Tabela_Fevereiro88[[#This Row],[De:]]</f>
        <v>16.879999999999995</v>
      </c>
      <c r="F31" s="72" t="s">
        <v>208</v>
      </c>
      <c r="G31" s="72"/>
      <c r="H31" s="72"/>
      <c r="I31" s="119">
        <f>Tabela_Fevereiro88[[#This Row],[Até]]-Tabela_Fevereiro88[[#This Row],[De]]</f>
        <v>0</v>
      </c>
      <c r="J31" s="111">
        <v>0.72222222222222221</v>
      </c>
      <c r="K31" s="111">
        <v>0.8125</v>
      </c>
      <c r="L31" s="128">
        <f>Tabela_Fevereiro88[[#This Row],[Horário Término]]-Tabela_Fevereiro88[[#This Row],[Horário Inicio]]</f>
        <v>9.027777777777779E-2</v>
      </c>
      <c r="M31" s="104"/>
      <c r="N31" s="2"/>
      <c r="O31" s="2"/>
    </row>
    <row r="32" spans="1:16" ht="14" customHeight="1" x14ac:dyDescent="0.35">
      <c r="A32" s="3"/>
      <c r="B32" s="68" t="s">
        <v>203</v>
      </c>
      <c r="C32" s="72">
        <v>142.88</v>
      </c>
      <c r="D32" s="72">
        <v>156.63999999999999</v>
      </c>
      <c r="E32" s="124">
        <f>Tabela_Fevereiro88[[#This Row],[Até:]]-Tabela_Fevereiro88[[#This Row],[De:]]</f>
        <v>13.759999999999991</v>
      </c>
      <c r="F32" s="72" t="s">
        <v>208</v>
      </c>
      <c r="G32" s="72"/>
      <c r="H32" s="72"/>
      <c r="I32" s="119">
        <f>Tabela_Fevereiro88[[#This Row],[Até]]-Tabela_Fevereiro88[[#This Row],[De]]</f>
        <v>0</v>
      </c>
      <c r="J32" s="111">
        <v>0.85416666666666663</v>
      </c>
      <c r="K32" s="111">
        <v>1.0104166666666667</v>
      </c>
      <c r="L32" s="128">
        <f>Tabela_Fevereiro88[[#This Row],[Horário Término]]-Tabela_Fevereiro88[[#This Row],[Horário Inicio]]</f>
        <v>0.15625000000000011</v>
      </c>
      <c r="M32" s="104"/>
      <c r="N32" s="2"/>
      <c r="O32" s="2"/>
    </row>
    <row r="33" spans="1:16" ht="14" customHeight="1" x14ac:dyDescent="0.35">
      <c r="A33" s="3"/>
      <c r="B33" s="68" t="s">
        <v>203</v>
      </c>
      <c r="C33" s="72">
        <v>156.63999999999999</v>
      </c>
      <c r="D33" s="72">
        <v>169.72</v>
      </c>
      <c r="E33" s="124">
        <f>Tabela_Fevereiro88[[#This Row],[Até:]]-Tabela_Fevereiro88[[#This Row],[De:]]</f>
        <v>13.080000000000013</v>
      </c>
      <c r="F33" s="72" t="s">
        <v>208</v>
      </c>
      <c r="G33" s="72"/>
      <c r="H33" s="72"/>
      <c r="I33" s="119">
        <f>Tabela_Fevereiro88[[#This Row],[Até]]-Tabela_Fevereiro88[[#This Row],[De]]</f>
        <v>0</v>
      </c>
      <c r="J33" s="111">
        <v>1.0902777777777777</v>
      </c>
      <c r="K33" s="111">
        <v>1.2708333333333333</v>
      </c>
      <c r="L33" s="128">
        <f>Tabela_Fevereiro88[[#This Row],[Horário Término]]-Tabela_Fevereiro88[[#This Row],[Horário Inicio]]</f>
        <v>0.18055555555555558</v>
      </c>
      <c r="M33" s="104"/>
      <c r="N33" s="2"/>
      <c r="O33" s="2"/>
    </row>
    <row r="34" spans="1:16" ht="14" customHeight="1" x14ac:dyDescent="0.35">
      <c r="A34" s="3">
        <v>46106</v>
      </c>
      <c r="B34" s="68" t="s">
        <v>203</v>
      </c>
      <c r="C34" s="72">
        <v>169.72</v>
      </c>
      <c r="D34" s="72">
        <v>206</v>
      </c>
      <c r="E34" s="124">
        <f>Tabela_Fevereiro88[[#This Row],[Até:]]-Tabela_Fevereiro88[[#This Row],[De:]]</f>
        <v>36.28</v>
      </c>
      <c r="F34" s="72" t="s">
        <v>208</v>
      </c>
      <c r="G34" s="72"/>
      <c r="H34" s="72"/>
      <c r="I34" s="119">
        <f>Tabela_Fevereiro88[[#This Row],[Até]]-Tabela_Fevereiro88[[#This Row],[De]]</f>
        <v>0</v>
      </c>
      <c r="J34" s="111">
        <v>0.29166666666666669</v>
      </c>
      <c r="K34" s="111">
        <v>0.79166666666666663</v>
      </c>
      <c r="L34" s="128">
        <f>Tabela_Fevereiro88[[#This Row],[Horário Término]]-Tabela_Fevereiro88[[#This Row],[Horário Inicio]]</f>
        <v>0.49999999999999994</v>
      </c>
      <c r="M34" s="104"/>
      <c r="N34" s="2"/>
      <c r="O34" s="2"/>
    </row>
    <row r="35" spans="1:16" ht="14" customHeight="1" x14ac:dyDescent="0.35">
      <c r="A35" s="3"/>
      <c r="B35" s="68" t="s">
        <v>203</v>
      </c>
      <c r="C35" s="72">
        <v>206</v>
      </c>
      <c r="D35" s="72">
        <v>210</v>
      </c>
      <c r="E35" s="124">
        <f>Tabela_Fevereiro88[[#This Row],[Até:]]-Tabela_Fevereiro88[[#This Row],[De:]]</f>
        <v>4</v>
      </c>
      <c r="F35" s="72" t="s">
        <v>208</v>
      </c>
      <c r="G35" s="72"/>
      <c r="H35" s="72"/>
      <c r="I35" s="119">
        <f>Tabela_Fevereiro88[[#This Row],[Até]]-Tabela_Fevereiro88[[#This Row],[De]]</f>
        <v>0</v>
      </c>
      <c r="J35" s="111">
        <v>0.79166666666666663</v>
      </c>
      <c r="K35" s="111">
        <v>0.81944444444444442</v>
      </c>
      <c r="L35" s="128">
        <f>Tabela_Fevereiro88[[#This Row],[Horário Término]]-Tabela_Fevereiro88[[#This Row],[Horário Inicio]]</f>
        <v>2.777777777777779E-2</v>
      </c>
      <c r="M35" s="104"/>
      <c r="N35" s="2"/>
      <c r="O35" s="2"/>
    </row>
    <row r="36" spans="1:16" ht="14" customHeight="1" x14ac:dyDescent="0.35">
      <c r="A36" s="3"/>
      <c r="B36" s="68" t="s">
        <v>203</v>
      </c>
      <c r="C36" s="72">
        <v>210</v>
      </c>
      <c r="D36" s="72">
        <v>217</v>
      </c>
      <c r="E36" s="124">
        <f>Tabela_Fevereiro88[[#This Row],[Até:]]-Tabela_Fevereiro88[[#This Row],[De:]]</f>
        <v>7</v>
      </c>
      <c r="F36" s="72" t="s">
        <v>208</v>
      </c>
      <c r="G36" s="72"/>
      <c r="H36" s="72"/>
      <c r="I36" s="119">
        <f>Tabela_Fevereiro88[[#This Row],[Até]]-Tabela_Fevereiro88[[#This Row],[De]]</f>
        <v>0</v>
      </c>
      <c r="J36" s="111">
        <v>0.91666666666666663</v>
      </c>
      <c r="K36" s="111">
        <v>1</v>
      </c>
      <c r="L36" s="128">
        <f>Tabela_Fevereiro88[[#This Row],[Horário Término]]-Tabela_Fevereiro88[[#This Row],[Horário Inicio]]</f>
        <v>8.333333333333337E-2</v>
      </c>
      <c r="M36" s="104"/>
      <c r="N36" s="2"/>
      <c r="O36" s="2"/>
    </row>
    <row r="37" spans="1:16" ht="14" customHeight="1" x14ac:dyDescent="0.35">
      <c r="A37" s="3"/>
      <c r="B37" s="68" t="s">
        <v>203</v>
      </c>
      <c r="C37" s="72">
        <v>217</v>
      </c>
      <c r="D37" s="72">
        <v>228</v>
      </c>
      <c r="E37" s="124">
        <f>Tabela_Fevereiro88[[#This Row],[Até:]]-Tabela_Fevereiro88[[#This Row],[De:]]</f>
        <v>11</v>
      </c>
      <c r="F37" s="72" t="s">
        <v>208</v>
      </c>
      <c r="G37" s="72"/>
      <c r="H37" s="72"/>
      <c r="I37" s="119">
        <f>Tabela_Fevereiro88[[#This Row],[Até]]-Tabela_Fevereiro88[[#This Row],[De]]</f>
        <v>0</v>
      </c>
      <c r="J37" s="111">
        <v>1.1180555555555556</v>
      </c>
      <c r="K37" s="111">
        <v>1.2916666666666667</v>
      </c>
      <c r="L37" s="128">
        <f>Tabela_Fevereiro88[[#This Row],[Horário Término]]-Tabela_Fevereiro88[[#This Row],[Horário Inicio]]</f>
        <v>0.17361111111111116</v>
      </c>
      <c r="M37" s="104"/>
      <c r="N37" s="2"/>
      <c r="O37" s="2"/>
    </row>
    <row r="38" spans="1:16" ht="14" customHeight="1" x14ac:dyDescent="0.35">
      <c r="A38" s="3">
        <v>46107</v>
      </c>
      <c r="B38" s="68" t="s">
        <v>203</v>
      </c>
      <c r="C38" s="72">
        <v>228</v>
      </c>
      <c r="D38" s="72">
        <v>263</v>
      </c>
      <c r="E38" s="124">
        <f>Tabela_Fevereiro88[[#This Row],[Até:]]-Tabela_Fevereiro88[[#This Row],[De:]]</f>
        <v>35</v>
      </c>
      <c r="F38" s="72" t="s">
        <v>208</v>
      </c>
      <c r="G38" s="72"/>
      <c r="H38" s="72"/>
      <c r="I38" s="119">
        <f>Tabela_Fevereiro88[[#This Row],[Até]]-Tabela_Fevereiro88[[#This Row],[De]]</f>
        <v>0</v>
      </c>
      <c r="J38" s="111">
        <v>0.29166666666666669</v>
      </c>
      <c r="K38" s="111">
        <v>0.79166666666666663</v>
      </c>
      <c r="L38" s="128">
        <f>Tabela_Fevereiro88[[#This Row],[Horário Término]]-Tabela_Fevereiro88[[#This Row],[Horário Inicio]]</f>
        <v>0.49999999999999994</v>
      </c>
      <c r="M38" s="104"/>
      <c r="N38" s="2"/>
      <c r="O38" s="2"/>
    </row>
    <row r="39" spans="1:16" ht="14" customHeight="1" x14ac:dyDescent="0.35">
      <c r="A39" s="3">
        <v>46108</v>
      </c>
      <c r="B39" s="68" t="s">
        <v>203</v>
      </c>
      <c r="C39" s="72">
        <v>263</v>
      </c>
      <c r="D39" s="72">
        <v>288.89999999999998</v>
      </c>
      <c r="E39" s="124">
        <f>Tabela_Fevereiro88[[#This Row],[Até:]]-Tabela_Fevereiro88[[#This Row],[De:]]</f>
        <v>25.899999999999977</v>
      </c>
      <c r="F39" s="72" t="s">
        <v>208</v>
      </c>
      <c r="G39" s="72"/>
      <c r="H39" s="72"/>
      <c r="I39" s="119">
        <f>Tabela_Fevereiro88[[#This Row],[Até]]-Tabela_Fevereiro88[[#This Row],[De]]</f>
        <v>0</v>
      </c>
      <c r="J39" s="111">
        <v>0.29166666666666669</v>
      </c>
      <c r="K39" s="111">
        <v>0.79166666666666663</v>
      </c>
      <c r="L39" s="128">
        <f>Tabela_Fevereiro88[[#This Row],[Horário Término]]-Tabela_Fevereiro88[[#This Row],[Horário Inicio]]</f>
        <v>0.49999999999999994</v>
      </c>
      <c r="M39" s="104"/>
      <c r="N39" s="2"/>
      <c r="O39" s="2"/>
    </row>
    <row r="40" spans="1:16" ht="14" customHeight="1" x14ac:dyDescent="0.35">
      <c r="A40" s="3"/>
      <c r="B40" s="68" t="s">
        <v>203</v>
      </c>
      <c r="C40" s="72">
        <v>288.89999999999998</v>
      </c>
      <c r="D40" s="72">
        <v>289.10000000000002</v>
      </c>
      <c r="E40" s="124">
        <f>Tabela_Fevereiro88[[#This Row],[Até:]]-Tabela_Fevereiro88[[#This Row],[De:]]</f>
        <v>0.20000000000004547</v>
      </c>
      <c r="F40" s="72" t="s">
        <v>208</v>
      </c>
      <c r="G40" s="72"/>
      <c r="H40" s="72"/>
      <c r="I40" s="119">
        <f>Tabela_Fevereiro88[[#This Row],[Até]]-Tabela_Fevereiro88[[#This Row],[De]]</f>
        <v>0</v>
      </c>
      <c r="J40" s="111">
        <v>0.79166666666666663</v>
      </c>
      <c r="K40" s="111">
        <v>0.875</v>
      </c>
      <c r="L40" s="128">
        <f>Tabela_Fevereiro88[[#This Row],[Horário Término]]-Tabela_Fevereiro88[[#This Row],[Horário Inicio]]</f>
        <v>8.333333333333337E-2</v>
      </c>
      <c r="M40" s="104"/>
      <c r="N40" s="2"/>
      <c r="O40" s="2"/>
      <c r="P40" t="s">
        <v>241</v>
      </c>
    </row>
    <row r="41" spans="1:16" ht="14" customHeight="1" x14ac:dyDescent="0.35">
      <c r="A41" s="3">
        <v>46111</v>
      </c>
      <c r="B41" s="68" t="s">
        <v>203</v>
      </c>
      <c r="C41" s="72">
        <v>289.10000000000002</v>
      </c>
      <c r="D41" s="72">
        <v>289.2</v>
      </c>
      <c r="E41" s="124">
        <f>Tabela_Fevereiro88[[#This Row],[Até:]]-Tabela_Fevereiro88[[#This Row],[De:]]</f>
        <v>9.9999999999965894E-2</v>
      </c>
      <c r="F41" s="72" t="s">
        <v>208</v>
      </c>
      <c r="G41" s="72"/>
      <c r="H41" s="72"/>
      <c r="I41" s="119">
        <f>Tabela_Fevereiro88[[#This Row],[Até]]-Tabela_Fevereiro88[[#This Row],[De]]</f>
        <v>0</v>
      </c>
      <c r="J41" s="111">
        <v>0.52083333333333337</v>
      </c>
      <c r="K41" s="111">
        <v>0.70833333333333337</v>
      </c>
      <c r="L41" s="128">
        <f>Tabela_Fevereiro88[[#This Row],[Horário Término]]-Tabela_Fevereiro88[[#This Row],[Horário Inicio]]</f>
        <v>0.1875</v>
      </c>
      <c r="M41" s="104"/>
      <c r="N41" s="2"/>
      <c r="O41" s="2"/>
      <c r="P41" t="s">
        <v>244</v>
      </c>
    </row>
    <row r="42" spans="1:16" ht="14" customHeight="1" x14ac:dyDescent="0.35">
      <c r="A42" s="3">
        <v>46112</v>
      </c>
      <c r="B42" s="68" t="s">
        <v>202</v>
      </c>
      <c r="C42" s="72">
        <v>289.2</v>
      </c>
      <c r="D42" s="72">
        <v>289.5</v>
      </c>
      <c r="E42" s="124">
        <f>Tabela_Fevereiro88[[#This Row],[Até:]]-Tabela_Fevereiro88[[#This Row],[De:]]</f>
        <v>0.30000000000001137</v>
      </c>
      <c r="F42" s="72" t="s">
        <v>208</v>
      </c>
      <c r="G42" s="72"/>
      <c r="H42" s="72"/>
      <c r="I42" s="119">
        <f>Tabela_Fevereiro88[[#This Row],[Até]]-Tabela_Fevereiro88[[#This Row],[De]]</f>
        <v>0</v>
      </c>
      <c r="J42" s="111">
        <v>0.79166666666666663</v>
      </c>
      <c r="K42" s="111">
        <v>0.9375</v>
      </c>
      <c r="L42" s="128">
        <f>Tabela_Fevereiro88[[#This Row],[Horário Término]]-Tabela_Fevereiro88[[#This Row],[Horário Inicio]]</f>
        <v>0.14583333333333337</v>
      </c>
      <c r="M42" s="104"/>
      <c r="N42" s="2"/>
      <c r="O42" s="2"/>
    </row>
    <row r="43" spans="1:16" ht="14" customHeight="1" x14ac:dyDescent="0.35">
      <c r="A43" s="3">
        <v>46112</v>
      </c>
      <c r="B43" s="68" t="s">
        <v>202</v>
      </c>
      <c r="C43" s="72">
        <v>289.5</v>
      </c>
      <c r="D43" s="72">
        <v>290</v>
      </c>
      <c r="E43" s="124">
        <f>Tabela_Fevereiro88[[#This Row],[Até:]]-Tabela_Fevereiro88[[#This Row],[De:]]</f>
        <v>0.5</v>
      </c>
      <c r="F43" s="72" t="s">
        <v>208</v>
      </c>
      <c r="G43" s="72"/>
      <c r="H43" s="72"/>
      <c r="I43" s="119">
        <f>Tabela_Fevereiro88[[#This Row],[Até]]-Tabela_Fevereiro88[[#This Row],[De]]</f>
        <v>0</v>
      </c>
      <c r="J43" s="111">
        <v>0.79166666666666663</v>
      </c>
      <c r="K43" s="111">
        <v>0.9375</v>
      </c>
      <c r="L43" s="128">
        <f>Tabela_Fevereiro88[[#This Row],[Horário Término]]-Tabela_Fevereiro88[[#This Row],[Horário Inicio]]</f>
        <v>0.14583333333333337</v>
      </c>
      <c r="M43" s="104"/>
      <c r="N43" s="2"/>
      <c r="O43" s="2"/>
    </row>
    <row r="44" spans="1:16" ht="14" customHeight="1" x14ac:dyDescent="0.35">
      <c r="A44" s="3">
        <v>46113</v>
      </c>
      <c r="B44" s="68" t="s">
        <v>202</v>
      </c>
      <c r="C44" s="72">
        <v>290</v>
      </c>
      <c r="D44" s="72">
        <v>304</v>
      </c>
      <c r="E44" s="124">
        <f>Tabela_Fevereiro88[[#This Row],[Até:]]-Tabela_Fevereiro88[[#This Row],[De:]]</f>
        <v>14</v>
      </c>
      <c r="F44" s="72" t="s">
        <v>208</v>
      </c>
      <c r="G44" s="72"/>
      <c r="H44" s="72"/>
      <c r="I44" s="119">
        <f>Tabela_Fevereiro88[[#This Row],[Até]]-Tabela_Fevereiro88[[#This Row],[De]]</f>
        <v>0</v>
      </c>
      <c r="J44" s="111">
        <v>0.87152777777777779</v>
      </c>
      <c r="K44" s="111">
        <v>0.91666666666666663</v>
      </c>
      <c r="L44" s="128">
        <f>Tabela_Fevereiro88[[#This Row],[Horário Término]]-Tabela_Fevereiro88[[#This Row],[Horário Inicio]]</f>
        <v>4.513888888888884E-2</v>
      </c>
      <c r="M44" s="104"/>
      <c r="N44" s="2"/>
      <c r="O44" s="2"/>
    </row>
    <row r="45" spans="1:16" ht="14" customHeight="1" x14ac:dyDescent="0.35">
      <c r="A45" s="3"/>
      <c r="B45" s="68" t="s">
        <v>202</v>
      </c>
      <c r="C45" s="72">
        <v>304</v>
      </c>
      <c r="D45" s="72">
        <v>310</v>
      </c>
      <c r="E45" s="124">
        <f>Tabela_Fevereiro88[[#This Row],[Até:]]-Tabela_Fevereiro88[[#This Row],[De:]]</f>
        <v>6</v>
      </c>
      <c r="F45" s="72" t="s">
        <v>208</v>
      </c>
      <c r="G45" s="72"/>
      <c r="H45" s="72"/>
      <c r="I45" s="119">
        <f>Tabela_Fevereiro88[[#This Row],[Até]]-Tabela_Fevereiro88[[#This Row],[De]]</f>
        <v>0</v>
      </c>
      <c r="J45" s="111">
        <v>1</v>
      </c>
      <c r="K45" s="111">
        <v>1.0694444444444444</v>
      </c>
      <c r="L45" s="128">
        <f>Tabela_Fevereiro88[[#This Row],[Horário Término]]-Tabela_Fevereiro88[[#This Row],[Horário Inicio]]</f>
        <v>6.944444444444442E-2</v>
      </c>
      <c r="M45" s="104"/>
      <c r="N45" s="2"/>
      <c r="O45" s="2"/>
    </row>
    <row r="46" spans="1:16" ht="14" customHeight="1" x14ac:dyDescent="0.35">
      <c r="A46" s="3">
        <v>46120</v>
      </c>
      <c r="B46" s="68" t="s">
        <v>203</v>
      </c>
      <c r="C46" s="72"/>
      <c r="D46" s="72"/>
      <c r="E46" s="124">
        <f>Tabela_Fevereiro88[[#This Row],[Até:]]-Tabela_Fevereiro88[[#This Row],[De:]]</f>
        <v>0</v>
      </c>
      <c r="F46" s="72" t="s">
        <v>209</v>
      </c>
      <c r="G46" s="72">
        <v>279.27999999999997</v>
      </c>
      <c r="H46" s="72">
        <v>290</v>
      </c>
      <c r="I46" s="119">
        <f>Tabela_Fevereiro88[[#This Row],[Até]]-Tabela_Fevereiro88[[#This Row],[De]]</f>
        <v>10.720000000000027</v>
      </c>
      <c r="J46" s="111"/>
      <c r="K46" s="111"/>
      <c r="L46" s="128">
        <f>Tabela_Fevereiro88[[#This Row],[Horário Término]]-Tabela_Fevereiro88[[#This Row],[Horário Inicio]]</f>
        <v>0</v>
      </c>
      <c r="M46" s="104">
        <v>7.013888888888889E-2</v>
      </c>
      <c r="N46" s="2"/>
      <c r="O46" s="2"/>
    </row>
    <row r="47" spans="1:16" ht="14" customHeight="1" x14ac:dyDescent="0.35">
      <c r="A47" s="3"/>
      <c r="B47" s="68" t="s">
        <v>203</v>
      </c>
      <c r="C47" s="72"/>
      <c r="D47" s="72"/>
      <c r="E47" s="124">
        <f>Tabela_Fevereiro88[[#This Row],[Até:]]-Tabela_Fevereiro88[[#This Row],[De:]]</f>
        <v>0</v>
      </c>
      <c r="F47" s="72" t="s">
        <v>209</v>
      </c>
      <c r="G47" s="72">
        <v>290</v>
      </c>
      <c r="H47" s="72">
        <v>290.89999999999998</v>
      </c>
      <c r="I47" s="119">
        <f>Tabela_Fevereiro88[[#This Row],[Até]]-Tabela_Fevereiro88[[#This Row],[De]]</f>
        <v>0.89999999999997726</v>
      </c>
      <c r="J47" s="111"/>
      <c r="K47" s="111"/>
      <c r="L47" s="128">
        <f>Tabela_Fevereiro88[[#This Row],[Horário Término]]-Tabela_Fevereiro88[[#This Row],[Horário Inicio]]</f>
        <v>0</v>
      </c>
      <c r="M47" s="104">
        <v>0.2048611111111111</v>
      </c>
      <c r="N47" s="2"/>
      <c r="O47" s="2"/>
    </row>
    <row r="48" spans="1:16" ht="14" customHeight="1" x14ac:dyDescent="0.35">
      <c r="A48" s="3">
        <v>46121</v>
      </c>
      <c r="B48" s="68" t="s">
        <v>203</v>
      </c>
      <c r="E48" s="124">
        <f>Tabela_Fevereiro88[[#This Row],[Até:]]-Tabela_Fevereiro88[[#This Row],[De:]]</f>
        <v>0</v>
      </c>
      <c r="F48" s="72"/>
      <c r="G48" s="72">
        <v>290.89999999999998</v>
      </c>
      <c r="H48" s="72">
        <v>293.39999999999998</v>
      </c>
      <c r="I48" s="119">
        <f>Tabela_Fevereiro88[[#This Row],[Até]]-Tabela_Fevereiro88[[#This Row],[De]]</f>
        <v>2.5</v>
      </c>
      <c r="J48" s="111"/>
      <c r="K48" s="111"/>
      <c r="L48" s="128">
        <f>Tabela_Fevereiro88[[#This Row],[Horário Término]]-Tabela_Fevereiro88[[#This Row],[Horário Inicio]]</f>
        <v>0</v>
      </c>
      <c r="M48" s="104">
        <v>0.5</v>
      </c>
      <c r="N48" s="2"/>
      <c r="O48" s="2"/>
    </row>
    <row r="49" spans="1:16" ht="14" customHeight="1" x14ac:dyDescent="0.35">
      <c r="B49" s="68" t="s">
        <v>203</v>
      </c>
      <c r="C49" s="72"/>
      <c r="D49" s="72"/>
      <c r="E49" s="124">
        <f>Tabela_Fevereiro88[[#This Row],[Até:]]-Tabela_Fevereiro88[[#This Row],[De:]]</f>
        <v>0</v>
      </c>
      <c r="F49" s="72" t="s">
        <v>209</v>
      </c>
      <c r="G49" s="72">
        <v>293.39999999999998</v>
      </c>
      <c r="H49" s="72">
        <v>310</v>
      </c>
      <c r="I49" s="119">
        <f>Tabela_Fevereiro88[[#This Row],[Até]]-Tabela_Fevereiro88[[#This Row],[De]]</f>
        <v>16.600000000000023</v>
      </c>
      <c r="J49" s="111"/>
      <c r="K49" s="111"/>
      <c r="L49" s="128"/>
      <c r="M49" s="104">
        <v>0.27777777777777779</v>
      </c>
      <c r="N49" s="2"/>
      <c r="O49" s="2"/>
    </row>
    <row r="50" spans="1:16" ht="14" customHeight="1" x14ac:dyDescent="0.35">
      <c r="A50" s="3"/>
      <c r="B50" s="68" t="s">
        <v>203</v>
      </c>
      <c r="C50" s="72">
        <v>310</v>
      </c>
      <c r="D50" s="72">
        <v>325.54000000000002</v>
      </c>
      <c r="E50" s="124">
        <f>Tabela_Fevereiro88[[#This Row],[Até:]]-Tabela_Fevereiro88[[#This Row],[De:]]</f>
        <v>15.54000000000002</v>
      </c>
      <c r="F50" s="72" t="s">
        <v>208</v>
      </c>
      <c r="G50" s="72"/>
      <c r="H50" s="72"/>
      <c r="I50" s="119">
        <f>Tabela_Fevereiro88[[#This Row],[Até]]-Tabela_Fevereiro88[[#This Row],[De]]</f>
        <v>0</v>
      </c>
      <c r="J50" s="111">
        <v>1.0694444444444444</v>
      </c>
      <c r="K50" s="111">
        <v>1.3125</v>
      </c>
      <c r="L50" s="128">
        <f>Tabela_Fevereiro88[[#This Row],[Horário Término]]-Tabela_Fevereiro88[[#This Row],[Horário Inicio]]</f>
        <v>0.24305555555555558</v>
      </c>
      <c r="M50" s="104"/>
      <c r="N50" s="2"/>
      <c r="O50" s="2"/>
    </row>
    <row r="51" spans="1:16" s="73" customFormat="1" x14ac:dyDescent="0.35">
      <c r="A51" s="3">
        <v>46122</v>
      </c>
      <c r="B51" s="68" t="s">
        <v>203</v>
      </c>
      <c r="C51" s="72">
        <v>325.54000000000002</v>
      </c>
      <c r="D51" s="72">
        <v>332.43</v>
      </c>
      <c r="E51" s="124">
        <f>Tabela_Fevereiro88[[#This Row],[Até:]]-Tabela_Fevereiro88[[#This Row],[De:]]</f>
        <v>6.8899999999999864</v>
      </c>
      <c r="F51" s="72" t="s">
        <v>208</v>
      </c>
      <c r="G51" s="72"/>
      <c r="H51" s="72"/>
      <c r="I51" s="119">
        <f>Tabela_Fevereiro88[[#This Row],[Até]]-Tabela_Fevereiro88[[#This Row],[De]]</f>
        <v>0</v>
      </c>
      <c r="J51" s="111">
        <v>0.29166666666666669</v>
      </c>
      <c r="K51" s="111">
        <v>0.3923611111111111</v>
      </c>
      <c r="L51" s="128">
        <f>Tabela_Fevereiro88[[#This Row],[Horário Término]]-Tabela_Fevereiro88[[#This Row],[Horário Inicio]]</f>
        <v>0.10069444444444442</v>
      </c>
      <c r="M51" s="104"/>
      <c r="N51" s="2"/>
      <c r="O51" s="2"/>
      <c r="P51"/>
    </row>
    <row r="52" spans="1:16" s="73" customFormat="1" x14ac:dyDescent="0.35">
      <c r="A52" s="3">
        <v>46123</v>
      </c>
      <c r="B52" s="68" t="s">
        <v>203</v>
      </c>
      <c r="C52" s="72">
        <v>332.43</v>
      </c>
      <c r="D52" s="72">
        <v>352.89</v>
      </c>
      <c r="E52" s="124">
        <f>Tabela_Fevereiro88[[#This Row],[Até:]]-Tabela_Fevereiro88[[#This Row],[De:]]</f>
        <v>20.45999999999998</v>
      </c>
      <c r="F52" s="72" t="s">
        <v>208</v>
      </c>
      <c r="G52" s="72"/>
      <c r="H52" s="72"/>
      <c r="I52" s="119">
        <f>Tabela_Fevereiro88[[#This Row],[Até]]-Tabela_Fevereiro88[[#This Row],[De]]</f>
        <v>0</v>
      </c>
      <c r="J52" s="111">
        <v>0.91319444444444442</v>
      </c>
      <c r="K52" s="111">
        <v>1.2916666666666667</v>
      </c>
      <c r="L52" s="128">
        <f>Tabela_Fevereiro88[[#This Row],[Horário Término]]-Tabela_Fevereiro88[[#This Row],[Horário Inicio]]</f>
        <v>0.37847222222222232</v>
      </c>
      <c r="M52" s="104"/>
      <c r="N52" s="2"/>
      <c r="O52" s="2"/>
      <c r="P52"/>
    </row>
    <row r="53" spans="1:16" s="73" customFormat="1" x14ac:dyDescent="0.35">
      <c r="A53" s="3"/>
      <c r="B53" s="68" t="s">
        <v>203</v>
      </c>
      <c r="C53" s="72">
        <v>352.89</v>
      </c>
      <c r="D53" s="72">
        <v>355.44</v>
      </c>
      <c r="E53" s="124">
        <f>Tabela_Fevereiro88[[#This Row],[Até:]]-Tabela_Fevereiro88[[#This Row],[De:]]</f>
        <v>2.5500000000000114</v>
      </c>
      <c r="F53" s="72" t="s">
        <v>208</v>
      </c>
      <c r="G53" s="72"/>
      <c r="H53" s="72"/>
      <c r="I53" s="119">
        <f>Tabela_Fevereiro88[[#This Row],[Até]]-Tabela_Fevereiro88[[#This Row],[De]]</f>
        <v>0</v>
      </c>
      <c r="J53" s="111"/>
      <c r="K53" s="111">
        <f>Tabela_Fevereiro88[[#This Row],[Horário Inicio]]/Tabela_Fevereiro88[[#This Row],[Quantidade Metros]]</f>
        <v>0</v>
      </c>
      <c r="L53" s="128">
        <v>4.1666666666666664E-2</v>
      </c>
      <c r="M53" s="104"/>
      <c r="N53" s="2"/>
      <c r="O53" s="2"/>
      <c r="P53"/>
    </row>
    <row r="54" spans="1:16" s="73" customFormat="1" x14ac:dyDescent="0.35">
      <c r="A54" s="3">
        <v>46125</v>
      </c>
      <c r="B54" s="68" t="s">
        <v>246</v>
      </c>
      <c r="C54" s="72"/>
      <c r="D54" s="72"/>
      <c r="E54" s="124">
        <f>Tabela_Fevereiro88[[#This Row],[Até:]]-Tabela_Fevereiro88[[#This Row],[De:]]</f>
        <v>0</v>
      </c>
      <c r="F54" s="72" t="s">
        <v>209</v>
      </c>
      <c r="G54" s="72">
        <v>180</v>
      </c>
      <c r="H54" s="72">
        <v>185.65</v>
      </c>
      <c r="I54" s="119">
        <f>Tabela_Fevereiro88[[#This Row],[Até]]-Tabela_Fevereiro88[[#This Row],[De]]</f>
        <v>5.6500000000000057</v>
      </c>
      <c r="J54" s="111"/>
      <c r="K54" s="111"/>
      <c r="L54" s="128"/>
      <c r="M54" s="104">
        <v>0.16319444444444445</v>
      </c>
      <c r="N54" s="2"/>
      <c r="O54" s="2"/>
      <c r="P54"/>
    </row>
    <row r="55" spans="1:16" s="73" customFormat="1" x14ac:dyDescent="0.35">
      <c r="A55" s="3">
        <v>46126</v>
      </c>
      <c r="B55" s="68" t="s">
        <v>246</v>
      </c>
      <c r="C55" s="72"/>
      <c r="D55" s="72"/>
      <c r="E55" s="124">
        <f>Tabela_Fevereiro88[[#This Row],[Até:]]-Tabela_Fevereiro88[[#This Row],[De:]]</f>
        <v>0</v>
      </c>
      <c r="F55" s="72" t="s">
        <v>209</v>
      </c>
      <c r="G55" s="72">
        <v>185.65</v>
      </c>
      <c r="H55" s="72">
        <v>206</v>
      </c>
      <c r="I55" s="119">
        <f>Tabela_Fevereiro88[[#This Row],[Até]]-Tabela_Fevereiro88[[#This Row],[De]]</f>
        <v>20.349999999999994</v>
      </c>
      <c r="J55" s="111"/>
      <c r="K55" s="111"/>
      <c r="L55" s="128"/>
      <c r="M55" s="104">
        <v>8.3333333333333329E-2</v>
      </c>
      <c r="N55" s="2"/>
      <c r="O55" s="2"/>
      <c r="P55"/>
    </row>
    <row r="56" spans="1:16" s="73" customFormat="1" x14ac:dyDescent="0.35">
      <c r="A56" s="3"/>
      <c r="B56" s="68" t="s">
        <v>247</v>
      </c>
      <c r="C56" s="168"/>
      <c r="D56" s="168"/>
      <c r="E56" s="124">
        <f>Tabela_Fevereiro88[[#This Row],[Até:]]-Tabela_Fevereiro88[[#This Row],[De:]]</f>
        <v>0</v>
      </c>
      <c r="F56" s="72"/>
      <c r="G56" s="72">
        <v>206</v>
      </c>
      <c r="H56" s="72">
        <v>218</v>
      </c>
      <c r="I56" s="119">
        <f>Tabela_Fevereiro88[[#This Row],[Até]]-Tabela_Fevereiro88[[#This Row],[De]]</f>
        <v>12</v>
      </c>
      <c r="J56" s="111"/>
      <c r="K56" s="111"/>
      <c r="L56" s="128"/>
      <c r="M56" s="104">
        <v>9.7222222222222224E-2</v>
      </c>
      <c r="N56" s="2"/>
      <c r="O56" s="2"/>
      <c r="P56"/>
    </row>
    <row r="57" spans="1:16" s="73" customFormat="1" x14ac:dyDescent="0.35">
      <c r="A57" s="3"/>
      <c r="B57" s="68" t="s">
        <v>246</v>
      </c>
      <c r="C57" s="72"/>
      <c r="D57" s="72"/>
      <c r="E57" s="124">
        <f>Tabela_Fevereiro88[[#This Row],[Até:]]-Tabela_Fevereiro88[[#This Row],[De:]]</f>
        <v>0</v>
      </c>
      <c r="F57" s="72" t="s">
        <v>209</v>
      </c>
      <c r="G57" s="72">
        <v>218</v>
      </c>
      <c r="H57" s="72">
        <v>221</v>
      </c>
      <c r="I57" s="119">
        <f>Tabela_Fevereiro88[[#This Row],[Até]]-Tabela_Fevereiro88[[#This Row],[De]]</f>
        <v>3</v>
      </c>
      <c r="J57" s="111"/>
      <c r="K57" s="111"/>
      <c r="L57" s="128"/>
      <c r="M57" s="104">
        <v>4.1666666666666664E-2</v>
      </c>
      <c r="N57" s="2"/>
      <c r="O57" s="2"/>
      <c r="P57"/>
    </row>
    <row r="58" spans="1:16" s="73" customFormat="1" x14ac:dyDescent="0.35">
      <c r="A58" s="3"/>
      <c r="B58" s="68" t="s">
        <v>246</v>
      </c>
      <c r="C58" s="72"/>
      <c r="D58" s="72"/>
      <c r="E58" s="124">
        <f>Tabela_Fevereiro88[[#This Row],[Até:]]-Tabela_Fevereiro88[[#This Row],[De:]]</f>
        <v>0</v>
      </c>
      <c r="F58" s="72" t="s">
        <v>209</v>
      </c>
      <c r="G58" s="72">
        <v>221</v>
      </c>
      <c r="H58" s="72">
        <v>234.5</v>
      </c>
      <c r="I58" s="119">
        <f>Tabela_Fevereiro88[[#This Row],[Até]]-Tabela_Fevereiro88[[#This Row],[De]]</f>
        <v>13.5</v>
      </c>
      <c r="J58" s="111"/>
      <c r="K58" s="111"/>
      <c r="L58" s="128"/>
      <c r="M58" s="104">
        <v>0.19444444444444445</v>
      </c>
      <c r="N58" s="2"/>
      <c r="O58" s="2"/>
      <c r="P58"/>
    </row>
    <row r="59" spans="1:16" s="73" customFormat="1" x14ac:dyDescent="0.35">
      <c r="A59" s="3"/>
      <c r="B59" s="68" t="s">
        <v>246</v>
      </c>
      <c r="C59" s="72"/>
      <c r="D59" s="72"/>
      <c r="E59" s="124">
        <f>Tabela_Fevereiro88[[#This Row],[Até:]]-Tabela_Fevereiro88[[#This Row],[De:]]</f>
        <v>0</v>
      </c>
      <c r="F59" s="72" t="s">
        <v>209</v>
      </c>
      <c r="G59" s="72">
        <v>234.5</v>
      </c>
      <c r="H59" s="72">
        <v>251</v>
      </c>
      <c r="I59" s="119">
        <f>Tabela_Fevereiro88[[#This Row],[Até]]-Tabela_Fevereiro88[[#This Row],[De]]</f>
        <v>16.5</v>
      </c>
      <c r="J59" s="111"/>
      <c r="K59" s="111"/>
      <c r="L59" s="128"/>
      <c r="M59" s="104">
        <v>0.20833333333333334</v>
      </c>
      <c r="N59" s="2"/>
      <c r="O59" s="2"/>
      <c r="P59"/>
    </row>
    <row r="60" spans="1:16" s="73" customFormat="1" x14ac:dyDescent="0.35">
      <c r="A60" s="3">
        <v>46128</v>
      </c>
      <c r="B60" s="68" t="s">
        <v>246</v>
      </c>
      <c r="C60" s="72"/>
      <c r="D60" s="72"/>
      <c r="E60" s="124">
        <f>Tabela_Fevereiro88[[#This Row],[Até:]]-Tabela_Fevereiro88[[#This Row],[De:]]</f>
        <v>0</v>
      </c>
      <c r="F60" s="72" t="s">
        <v>209</v>
      </c>
      <c r="G60" s="72">
        <v>253.54</v>
      </c>
      <c r="H60" s="72">
        <v>260.42</v>
      </c>
      <c r="I60" s="119">
        <f>Tabela_Fevereiro88[[#This Row],[Até]]-Tabela_Fevereiro88[[#This Row],[De]]</f>
        <v>6.8800000000000239</v>
      </c>
      <c r="J60" s="111"/>
      <c r="K60" s="111"/>
      <c r="L60" s="128"/>
      <c r="M60" s="104">
        <v>9.166666666666666E-2</v>
      </c>
      <c r="N60" s="2"/>
      <c r="O60" s="2"/>
      <c r="P60"/>
    </row>
    <row r="61" spans="1:16" s="73" customFormat="1" x14ac:dyDescent="0.35">
      <c r="A61" s="3"/>
      <c r="B61" s="68" t="s">
        <v>246</v>
      </c>
      <c r="C61" s="72"/>
      <c r="D61" s="72"/>
      <c r="E61" s="124">
        <f>Tabela_Fevereiro88[[#This Row],[Até:]]-Tabela_Fevereiro88[[#This Row],[De:]]</f>
        <v>0</v>
      </c>
      <c r="F61" s="72" t="s">
        <v>209</v>
      </c>
      <c r="G61" s="72">
        <v>260.42</v>
      </c>
      <c r="H61" s="72">
        <v>287.8</v>
      </c>
      <c r="I61" s="119">
        <f>Tabela_Fevereiro88[[#This Row],[Até]]-Tabela_Fevereiro88[[#This Row],[De]]</f>
        <v>27.379999999999995</v>
      </c>
      <c r="J61" s="111"/>
      <c r="K61" s="111"/>
      <c r="L61" s="128"/>
      <c r="M61" s="104">
        <v>0.39583333333333331</v>
      </c>
      <c r="N61" s="2"/>
      <c r="O61" s="2"/>
      <c r="P61"/>
    </row>
    <row r="62" spans="1:16" s="73" customFormat="1" x14ac:dyDescent="0.35">
      <c r="A62" s="3">
        <v>46129</v>
      </c>
      <c r="B62" s="68" t="s">
        <v>246</v>
      </c>
      <c r="C62" s="72"/>
      <c r="D62" s="72"/>
      <c r="E62" s="124">
        <f>Tabela_Fevereiro88[[#This Row],[Até:]]-Tabela_Fevereiro88[[#This Row],[De:]]</f>
        <v>0</v>
      </c>
      <c r="F62" s="72" t="s">
        <v>209</v>
      </c>
      <c r="G62" s="72">
        <v>287.8</v>
      </c>
      <c r="H62" s="72">
        <v>289.5</v>
      </c>
      <c r="I62" s="119">
        <f>Tabela_Fevereiro88[[#This Row],[Até]]-Tabela_Fevereiro88[[#This Row],[De]]</f>
        <v>1.6999999999999886</v>
      </c>
      <c r="J62" s="111"/>
      <c r="K62" s="111"/>
      <c r="L62" s="128"/>
      <c r="M62" s="104">
        <v>0.40972222222222221</v>
      </c>
      <c r="N62" s="2"/>
      <c r="O62" s="2"/>
      <c r="P62"/>
    </row>
    <row r="63" spans="1:16" s="73" customFormat="1" x14ac:dyDescent="0.35">
      <c r="A63" s="3">
        <v>46130</v>
      </c>
      <c r="B63" s="68" t="s">
        <v>246</v>
      </c>
      <c r="C63" s="72"/>
      <c r="D63" s="72"/>
      <c r="E63" s="124">
        <f>Tabela_Fevereiro88[[#This Row],[Até:]]-Tabela_Fevereiro88[[#This Row],[De:]]</f>
        <v>0</v>
      </c>
      <c r="F63" s="72" t="s">
        <v>209</v>
      </c>
      <c r="G63" s="72">
        <v>299</v>
      </c>
      <c r="H63" s="72">
        <v>321.47000000000003</v>
      </c>
      <c r="I63" s="119">
        <f>Tabela_Fevereiro88[[#This Row],[Até]]-Tabela_Fevereiro88[[#This Row],[De]]</f>
        <v>22.470000000000027</v>
      </c>
      <c r="J63" s="111"/>
      <c r="K63" s="111"/>
      <c r="L63" s="128"/>
      <c r="M63" s="104">
        <v>0.33333333333333331</v>
      </c>
      <c r="N63" s="2"/>
      <c r="O63" s="2"/>
      <c r="P63"/>
    </row>
    <row r="64" spans="1:16" s="73" customFormat="1" x14ac:dyDescent="0.35">
      <c r="A64" s="3">
        <v>46131</v>
      </c>
      <c r="B64" s="68" t="s">
        <v>246</v>
      </c>
      <c r="C64" s="72"/>
      <c r="D64" s="72"/>
      <c r="E64" s="124">
        <f>Tabela_Fevereiro88[[#This Row],[Até:]]-Tabela_Fevereiro88[[#This Row],[De:]]</f>
        <v>0</v>
      </c>
      <c r="F64" s="72" t="s">
        <v>209</v>
      </c>
      <c r="G64" s="72">
        <v>321.47000000000003</v>
      </c>
      <c r="H64" s="72">
        <v>345</v>
      </c>
      <c r="I64" s="119">
        <f>Tabela_Fevereiro88[[#This Row],[Até]]-Tabela_Fevereiro88[[#This Row],[De]]</f>
        <v>23.529999999999973</v>
      </c>
      <c r="J64" s="111"/>
      <c r="K64" s="111"/>
      <c r="L64" s="128"/>
      <c r="M64" s="104">
        <v>0.5</v>
      </c>
      <c r="N64" s="2"/>
      <c r="O64" s="2"/>
      <c r="P64"/>
    </row>
    <row r="65" spans="1:16" s="73" customFormat="1" x14ac:dyDescent="0.35">
      <c r="A65" s="3"/>
      <c r="B65" s="68" t="s">
        <v>246</v>
      </c>
      <c r="C65" s="72"/>
      <c r="D65" s="72"/>
      <c r="E65" s="124">
        <f>Tabela_Fevereiro88[[#This Row],[Até:]]-Tabela_Fevereiro88[[#This Row],[De:]]</f>
        <v>0</v>
      </c>
      <c r="F65" s="72" t="s">
        <v>209</v>
      </c>
      <c r="G65" s="72">
        <v>345</v>
      </c>
      <c r="H65" s="72">
        <v>355.44</v>
      </c>
      <c r="I65" s="119">
        <f>Tabela_Fevereiro88[[#This Row],[Até]]-Tabela_Fevereiro88[[#This Row],[De]]</f>
        <v>10.439999999999998</v>
      </c>
      <c r="J65" s="111"/>
      <c r="K65" s="111"/>
      <c r="L65" s="128"/>
      <c r="M65" s="104">
        <v>0.28819444444444442</v>
      </c>
      <c r="N65" s="2"/>
      <c r="O65" s="2"/>
      <c r="P65"/>
    </row>
    <row r="66" spans="1:16" s="73" customFormat="1" x14ac:dyDescent="0.35">
      <c r="A66" s="3"/>
      <c r="B66" s="68"/>
      <c r="C66" s="72"/>
      <c r="D66" s="72"/>
      <c r="E66" s="124"/>
      <c r="F66" s="72"/>
      <c r="G66" s="72"/>
      <c r="H66" s="72"/>
      <c r="I66" s="119"/>
      <c r="J66" s="111"/>
      <c r="K66" s="111"/>
      <c r="L66" s="128"/>
      <c r="M66" s="104"/>
      <c r="N66" s="2"/>
      <c r="O66" s="2"/>
      <c r="P66"/>
    </row>
    <row r="67" spans="1:16" s="73" customFormat="1" x14ac:dyDescent="0.35">
      <c r="A67" s="3"/>
      <c r="B67" s="68"/>
      <c r="C67" s="72"/>
      <c r="D67" s="72"/>
      <c r="E67" s="125">
        <f>SUM(E4:E65)</f>
        <v>355.44</v>
      </c>
      <c r="F67" s="72"/>
      <c r="G67" s="72"/>
      <c r="H67" s="72"/>
      <c r="I67" s="120">
        <f>SUM(I4:I65)</f>
        <v>210.41000000000003</v>
      </c>
      <c r="J67" s="111"/>
      <c r="K67" s="111"/>
      <c r="L67" s="128">
        <f>SUM(L4:L65)</f>
        <v>5.3395833333333336</v>
      </c>
      <c r="M67" s="133">
        <f>SUM(M4:M65)</f>
        <v>4.2312500000000011</v>
      </c>
      <c r="N67" s="2"/>
      <c r="O67" s="2"/>
      <c r="P67"/>
    </row>
    <row r="68" spans="1:16" s="73" customFormat="1" x14ac:dyDescent="0.35">
      <c r="A68" s="3"/>
      <c r="B68" s="68"/>
      <c r="C68" s="72"/>
      <c r="D68" s="72"/>
      <c r="E68" s="124"/>
      <c r="F68" s="72"/>
      <c r="G68" s="72"/>
      <c r="H68" s="72"/>
      <c r="I68" s="119"/>
      <c r="J68" s="111"/>
      <c r="K68" s="111"/>
      <c r="L68" s="128"/>
      <c r="M68" s="104"/>
      <c r="N68" s="2"/>
      <c r="O68" s="2"/>
      <c r="P68"/>
    </row>
    <row r="69" spans="1:16" s="73" customFormat="1" x14ac:dyDescent="0.35">
      <c r="A69" s="3"/>
      <c r="B69" s="68"/>
      <c r="C69" s="72"/>
      <c r="D69" s="72"/>
      <c r="E69" s="124"/>
      <c r="F69" s="72"/>
      <c r="G69" s="72"/>
      <c r="H69" s="72"/>
      <c r="I69" s="119"/>
      <c r="J69" s="111"/>
      <c r="K69" s="111"/>
      <c r="L69" s="128"/>
      <c r="M69" s="104"/>
      <c r="N69" s="2"/>
      <c r="O69" s="2"/>
      <c r="P69"/>
    </row>
    <row r="70" spans="1:16" s="73" customFormat="1" x14ac:dyDescent="0.35">
      <c r="A70" s="3"/>
      <c r="B70" s="2"/>
      <c r="C70" s="72"/>
      <c r="D70" s="72"/>
      <c r="E70" s="124"/>
      <c r="F70" s="72"/>
      <c r="G70" s="72"/>
      <c r="H70" s="72"/>
      <c r="I70" s="119"/>
      <c r="J70" s="2"/>
      <c r="K70" s="6"/>
      <c r="L70" s="128"/>
      <c r="M70" s="104"/>
      <c r="N70" s="2"/>
      <c r="O70" s="2"/>
      <c r="P70"/>
    </row>
    <row r="71" spans="1:16" s="73" customFormat="1" x14ac:dyDescent="0.35">
      <c r="A71" s="3"/>
      <c r="B71" s="2"/>
      <c r="C71" s="72"/>
      <c r="D71" s="72"/>
      <c r="E71" s="124"/>
      <c r="F71" s="72"/>
      <c r="G71" s="72"/>
      <c r="H71" s="72"/>
      <c r="I71" s="119"/>
      <c r="J71" s="2"/>
      <c r="K71" s="6"/>
      <c r="L71" s="128"/>
      <c r="M71" s="104"/>
      <c r="N71" s="2"/>
      <c r="O71" s="2"/>
      <c r="P71"/>
    </row>
    <row r="72" spans="1:16" s="73" customFormat="1" x14ac:dyDescent="0.35">
      <c r="A72" s="3"/>
      <c r="B72" s="2"/>
      <c r="C72" s="72"/>
      <c r="D72" s="72"/>
      <c r="E72" s="124"/>
      <c r="F72" s="72"/>
      <c r="G72" s="72"/>
      <c r="H72" s="72"/>
      <c r="I72" s="119"/>
      <c r="J72" s="2"/>
      <c r="K72" s="6"/>
      <c r="L72" s="128"/>
      <c r="M72" s="104"/>
      <c r="N72" s="2"/>
      <c r="O72" s="2"/>
      <c r="P72"/>
    </row>
    <row r="73" spans="1:16" s="73" customFormat="1" x14ac:dyDescent="0.35">
      <c r="A73" s="3"/>
      <c r="B73" s="2"/>
      <c r="C73" s="72"/>
      <c r="D73" s="72"/>
      <c r="E73" s="124"/>
      <c r="F73" s="72"/>
      <c r="G73" s="72"/>
      <c r="H73" s="72"/>
      <c r="I73" s="119"/>
      <c r="J73" s="2"/>
      <c r="K73" s="6"/>
      <c r="L73" s="128"/>
      <c r="M73" s="104"/>
      <c r="N73" s="2"/>
      <c r="O73" s="2"/>
      <c r="P73"/>
    </row>
    <row r="74" spans="1:16" x14ac:dyDescent="0.35">
      <c r="A74" s="3"/>
      <c r="B74" s="2"/>
      <c r="C74" s="72"/>
      <c r="D74" s="72"/>
      <c r="E74" s="124"/>
      <c r="F74" s="72"/>
      <c r="G74" s="72"/>
      <c r="H74" s="72"/>
      <c r="I74" s="119"/>
      <c r="J74" s="2"/>
      <c r="K74" s="6"/>
      <c r="L74" s="128"/>
      <c r="M74" s="104"/>
      <c r="N74" s="2"/>
      <c r="O74" s="2"/>
    </row>
    <row r="75" spans="1:16" ht="18.5" x14ac:dyDescent="0.45">
      <c r="A75" s="156" t="s">
        <v>267</v>
      </c>
      <c r="B75" s="157"/>
      <c r="C75" s="157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62"/>
    </row>
    <row r="76" spans="1:16" x14ac:dyDescent="0.35">
      <c r="A76" s="141" t="s">
        <v>208</v>
      </c>
      <c r="B76" s="145" t="s">
        <v>268</v>
      </c>
      <c r="O76" s="7"/>
      <c r="P76" s="7"/>
    </row>
    <row r="77" spans="1:16" x14ac:dyDescent="0.35">
      <c r="A77" s="25" t="s">
        <v>252</v>
      </c>
      <c r="B77" s="124">
        <f>E67</f>
        <v>355.44</v>
      </c>
      <c r="C77" s="72"/>
      <c r="E77" s="124"/>
      <c r="H77" s="72"/>
      <c r="L77" s="128"/>
      <c r="O77" s="7"/>
      <c r="P77" s="7"/>
    </row>
    <row r="78" spans="1:16" x14ac:dyDescent="0.35">
      <c r="A78" s="25" t="s">
        <v>253</v>
      </c>
      <c r="B78" s="134">
        <f>B79/B77</f>
        <v>1.5022460424638008E-2</v>
      </c>
      <c r="C78" s="72"/>
      <c r="H78" s="72"/>
      <c r="L78" s="128"/>
      <c r="O78" s="7"/>
      <c r="P78" s="7"/>
    </row>
    <row r="79" spans="1:16" x14ac:dyDescent="0.35">
      <c r="A79" s="25" t="s">
        <v>218</v>
      </c>
      <c r="B79" s="128">
        <f>L67</f>
        <v>5.3395833333333336</v>
      </c>
      <c r="C79" s="72"/>
      <c r="E79" s="124"/>
      <c r="H79" s="72"/>
      <c r="I79" s="119"/>
      <c r="J79" s="6"/>
      <c r="K79" s="6"/>
      <c r="L79" s="128"/>
      <c r="O79" s="7"/>
      <c r="P79" s="7"/>
    </row>
    <row r="80" spans="1:16" x14ac:dyDescent="0.35">
      <c r="A80" s="137" t="s">
        <v>179</v>
      </c>
      <c r="B80" s="103">
        <f>B79/12</f>
        <v>0.44496527777777778</v>
      </c>
      <c r="C80" s="72"/>
      <c r="E80" s="124"/>
      <c r="H80" s="72"/>
      <c r="I80" s="119"/>
      <c r="J80" s="2"/>
      <c r="K80" s="6"/>
      <c r="L80" s="129"/>
      <c r="M80" s="131"/>
      <c r="N80" s="2"/>
      <c r="O80" s="74"/>
      <c r="P80" s="73"/>
    </row>
    <row r="81" spans="1:16" x14ac:dyDescent="0.35">
      <c r="A81" s="146"/>
      <c r="B81" s="108"/>
      <c r="C81" s="72"/>
      <c r="E81" s="124"/>
      <c r="H81" s="72"/>
      <c r="I81" s="119"/>
      <c r="J81" s="2"/>
      <c r="K81" s="6"/>
      <c r="L81" s="129"/>
      <c r="M81" s="131"/>
      <c r="N81" s="2"/>
      <c r="O81" s="74"/>
      <c r="P81" s="73"/>
    </row>
    <row r="82" spans="1:16" x14ac:dyDescent="0.35">
      <c r="A82" s="26" t="s">
        <v>209</v>
      </c>
      <c r="C82" s="72"/>
      <c r="D82" s="72"/>
      <c r="E82" s="124"/>
      <c r="F82" s="72"/>
      <c r="G82" s="72"/>
      <c r="H82" s="72"/>
      <c r="I82" s="119"/>
      <c r="J82" s="2"/>
      <c r="K82" s="6"/>
      <c r="L82" s="129"/>
      <c r="M82" s="131"/>
      <c r="N82" s="2"/>
      <c r="O82" s="2"/>
    </row>
    <row r="83" spans="1:16" x14ac:dyDescent="0.35">
      <c r="A83" s="135" t="s">
        <v>254</v>
      </c>
      <c r="B83" s="119">
        <f>I67</f>
        <v>210.41000000000003</v>
      </c>
      <c r="C83" s="72"/>
      <c r="D83" s="72"/>
      <c r="E83" s="124"/>
      <c r="F83" s="72"/>
      <c r="G83" s="72"/>
      <c r="H83" s="72"/>
      <c r="I83" s="119"/>
      <c r="J83" s="2"/>
      <c r="K83" s="6"/>
      <c r="L83" s="129"/>
      <c r="M83" s="131"/>
      <c r="N83" s="2"/>
      <c r="O83" s="2"/>
    </row>
    <row r="84" spans="1:16" x14ac:dyDescent="0.35">
      <c r="A84" s="135" t="s">
        <v>217</v>
      </c>
      <c r="B84" s="104">
        <f>M67</f>
        <v>4.2312500000000011</v>
      </c>
      <c r="C84" s="72"/>
      <c r="D84" s="72"/>
      <c r="E84" s="124"/>
      <c r="F84" s="72"/>
      <c r="G84" s="72"/>
      <c r="H84" s="72"/>
      <c r="I84" s="119"/>
      <c r="J84" s="2"/>
      <c r="K84" s="6"/>
      <c r="L84" s="129"/>
      <c r="M84" s="131"/>
      <c r="N84" s="2"/>
      <c r="O84" s="2"/>
    </row>
    <row r="85" spans="1:16" x14ac:dyDescent="0.35">
      <c r="A85" s="25" t="s">
        <v>253</v>
      </c>
      <c r="B85" s="133">
        <f>B84/B83</f>
        <v>2.0109548025283971E-2</v>
      </c>
      <c r="C85" s="72"/>
      <c r="D85" s="72"/>
      <c r="E85" s="124"/>
      <c r="F85" s="72"/>
      <c r="G85" s="72"/>
      <c r="H85" s="72"/>
      <c r="I85" s="119"/>
      <c r="J85" s="2"/>
      <c r="K85" s="6"/>
      <c r="L85" s="129"/>
      <c r="M85" s="131"/>
      <c r="N85" s="2"/>
      <c r="O85" s="2"/>
    </row>
    <row r="86" spans="1:16" x14ac:dyDescent="0.35">
      <c r="A86" s="135" t="s">
        <v>179</v>
      </c>
      <c r="B86" s="104">
        <f>B84/12</f>
        <v>0.35260416666666677</v>
      </c>
      <c r="C86" s="72"/>
      <c r="D86" s="72"/>
      <c r="E86" s="124"/>
      <c r="F86" s="72"/>
      <c r="G86" s="72"/>
      <c r="H86" s="72"/>
      <c r="I86" s="119"/>
      <c r="J86" s="2"/>
      <c r="K86" s="6"/>
      <c r="L86" s="129"/>
      <c r="M86" s="131"/>
      <c r="N86" s="2"/>
      <c r="O86" s="2"/>
    </row>
    <row r="87" spans="1:16" x14ac:dyDescent="0.35">
      <c r="A87" s="135"/>
      <c r="B87" s="104"/>
      <c r="C87" s="72"/>
      <c r="D87" s="72"/>
      <c r="E87" s="124"/>
      <c r="F87" s="72"/>
      <c r="G87" s="72"/>
      <c r="H87" s="72"/>
      <c r="I87" s="119"/>
      <c r="J87" s="2"/>
      <c r="K87" s="6"/>
      <c r="L87" s="129"/>
      <c r="M87" s="131"/>
      <c r="N87" s="2"/>
      <c r="O87" s="2"/>
    </row>
    <row r="88" spans="1:16" x14ac:dyDescent="0.35">
      <c r="A88" s="137" t="s">
        <v>269</v>
      </c>
      <c r="B88" s="2"/>
      <c r="C88" s="72"/>
      <c r="D88" s="72"/>
      <c r="E88" s="124"/>
      <c r="F88" s="72"/>
      <c r="G88" s="72"/>
      <c r="H88" s="72"/>
      <c r="I88" s="119"/>
      <c r="J88" s="2"/>
      <c r="K88" s="6"/>
      <c r="L88" s="129"/>
      <c r="M88" s="131"/>
      <c r="N88" s="2"/>
      <c r="O88" s="2"/>
    </row>
    <row r="89" spans="1:16" x14ac:dyDescent="0.35">
      <c r="A89" s="136" t="s">
        <v>255</v>
      </c>
      <c r="B89" s="134">
        <f>L67+M67</f>
        <v>9.5708333333333346</v>
      </c>
      <c r="D89" s="72"/>
      <c r="E89" s="124"/>
      <c r="F89" s="72"/>
      <c r="G89" s="72"/>
      <c r="H89" s="72"/>
      <c r="I89" s="119"/>
      <c r="J89" s="2"/>
      <c r="K89" s="6"/>
      <c r="L89" s="129"/>
      <c r="M89" s="131"/>
      <c r="N89" s="2"/>
      <c r="O89" s="2"/>
    </row>
    <row r="90" spans="1:16" x14ac:dyDescent="0.35">
      <c r="A90" s="136" t="s">
        <v>179</v>
      </c>
      <c r="B90" s="134">
        <f>B89/12</f>
        <v>0.79756944444444455</v>
      </c>
      <c r="D90" s="72"/>
      <c r="E90" s="124"/>
      <c r="F90" s="72"/>
      <c r="G90" s="72"/>
      <c r="H90" s="72"/>
      <c r="I90" s="119"/>
      <c r="J90" s="2"/>
      <c r="K90" s="6"/>
      <c r="L90" s="129"/>
      <c r="M90" s="131"/>
      <c r="N90" s="2"/>
      <c r="O90" s="2"/>
    </row>
    <row r="91" spans="1:16" x14ac:dyDescent="0.35">
      <c r="A91" s="3"/>
      <c r="B91" s="2"/>
      <c r="C91" s="72"/>
      <c r="D91" s="72"/>
      <c r="E91" s="124"/>
      <c r="F91" s="72"/>
      <c r="G91" s="72"/>
      <c r="H91" s="72"/>
      <c r="I91" s="119"/>
      <c r="J91" s="2"/>
      <c r="K91" s="6"/>
      <c r="L91" s="129"/>
      <c r="M91" s="131"/>
      <c r="N91" s="2"/>
      <c r="O91" s="2"/>
    </row>
    <row r="92" spans="1:16" x14ac:dyDescent="0.35">
      <c r="A92" s="3"/>
      <c r="B92" s="2"/>
      <c r="C92" s="72"/>
      <c r="D92" s="72"/>
      <c r="E92" s="124"/>
      <c r="F92" s="72"/>
      <c r="G92" s="72"/>
      <c r="H92" s="72"/>
      <c r="I92" s="119"/>
      <c r="J92" s="2"/>
      <c r="K92" s="6"/>
      <c r="L92" s="129"/>
      <c r="M92" s="131"/>
      <c r="N92" s="2"/>
      <c r="O92" s="2"/>
    </row>
    <row r="93" spans="1:16" x14ac:dyDescent="0.35">
      <c r="A93" s="3"/>
      <c r="B93" s="2"/>
      <c r="C93" s="72"/>
      <c r="D93" s="72"/>
      <c r="E93" s="124"/>
      <c r="F93" s="72"/>
      <c r="G93" s="72"/>
      <c r="H93" s="72"/>
      <c r="I93" s="119"/>
      <c r="J93" s="2"/>
      <c r="K93" s="6"/>
      <c r="L93" s="129"/>
      <c r="M93" s="131"/>
      <c r="N93" s="2"/>
      <c r="O93" s="2"/>
    </row>
    <row r="94" spans="1:16" x14ac:dyDescent="0.35">
      <c r="A94" s="3"/>
      <c r="B94" s="2"/>
      <c r="C94" s="72"/>
      <c r="D94" s="72"/>
      <c r="E94" s="124"/>
      <c r="F94" s="72"/>
      <c r="G94" s="72"/>
      <c r="H94" s="72"/>
      <c r="I94" s="119"/>
      <c r="J94" s="2"/>
      <c r="K94" s="6"/>
      <c r="L94" s="129"/>
      <c r="M94" s="131"/>
      <c r="N94" s="2"/>
      <c r="O94" s="2"/>
    </row>
    <row r="95" spans="1:16" ht="16" customHeight="1" x14ac:dyDescent="0.35">
      <c r="A95" s="3"/>
      <c r="B95" s="2"/>
      <c r="C95" s="72"/>
      <c r="D95" s="72"/>
      <c r="E95" s="124"/>
      <c r="F95" s="72"/>
      <c r="G95" s="72"/>
      <c r="H95" s="72"/>
      <c r="I95" s="119"/>
      <c r="J95" s="2"/>
      <c r="K95" s="6"/>
      <c r="L95" s="129"/>
      <c r="M95" s="131"/>
      <c r="N95" s="2"/>
      <c r="O95" s="2"/>
    </row>
    <row r="96" spans="1:16" ht="16" customHeight="1" x14ac:dyDescent="0.35">
      <c r="A96" s="2"/>
      <c r="B96" s="2"/>
      <c r="C96" s="72"/>
      <c r="D96" s="72"/>
      <c r="E96" s="124"/>
      <c r="F96" s="72"/>
      <c r="G96" s="72"/>
      <c r="H96" s="72"/>
      <c r="I96" s="119"/>
      <c r="J96" s="2"/>
      <c r="K96" s="6"/>
      <c r="L96" s="129"/>
      <c r="M96" s="131"/>
      <c r="N96" s="2"/>
      <c r="O96" s="2"/>
    </row>
    <row r="97" spans="1:16" x14ac:dyDescent="0.35">
      <c r="A97" s="2"/>
      <c r="B97" s="2"/>
      <c r="C97" s="72"/>
      <c r="D97" s="72"/>
      <c r="K97" s="6"/>
      <c r="O97" s="2"/>
    </row>
    <row r="98" spans="1:16" x14ac:dyDescent="0.35">
      <c r="A98" s="2"/>
      <c r="B98" s="2"/>
      <c r="C98" s="72"/>
      <c r="D98" s="72"/>
      <c r="K98" s="75"/>
      <c r="O98" s="2"/>
    </row>
    <row r="105" spans="1:16" x14ac:dyDescent="0.35">
      <c r="A105" s="25"/>
      <c r="B105" s="6"/>
      <c r="C105" s="72"/>
      <c r="D105" s="72"/>
      <c r="E105" s="124"/>
      <c r="F105" s="72"/>
      <c r="G105" s="72"/>
      <c r="H105" s="72"/>
      <c r="I105" s="119"/>
      <c r="J105" s="6"/>
      <c r="K105" s="6"/>
      <c r="L105" s="128"/>
      <c r="O105" s="7"/>
      <c r="P105" s="7"/>
    </row>
    <row r="106" spans="1:16" x14ac:dyDescent="0.35">
      <c r="A106" s="25"/>
      <c r="B106" s="6"/>
      <c r="C106" s="72"/>
      <c r="D106" s="72"/>
      <c r="E106" s="124"/>
      <c r="F106" s="72"/>
      <c r="G106" s="72"/>
      <c r="H106" s="72"/>
      <c r="I106" s="119"/>
      <c r="J106" s="6"/>
      <c r="K106" s="6"/>
      <c r="L106" s="128"/>
      <c r="O106" s="7"/>
      <c r="P106" s="7"/>
    </row>
    <row r="107" spans="1:16" x14ac:dyDescent="0.35">
      <c r="A107" s="25"/>
      <c r="B107" s="6"/>
      <c r="C107" s="72"/>
      <c r="D107" s="72"/>
      <c r="E107" s="124"/>
      <c r="F107" s="72"/>
      <c r="G107" s="72"/>
      <c r="H107" s="72"/>
      <c r="I107" s="119"/>
      <c r="J107" s="6"/>
      <c r="K107" s="6"/>
      <c r="L107" s="128"/>
      <c r="O107" s="7"/>
      <c r="P107" s="7"/>
    </row>
    <row r="108" spans="1:16" x14ac:dyDescent="0.35">
      <c r="A108" s="25"/>
      <c r="B108" s="6"/>
      <c r="C108" s="72"/>
      <c r="D108" s="72"/>
      <c r="E108" s="124"/>
      <c r="F108" s="72"/>
      <c r="G108" s="72"/>
      <c r="H108" s="72"/>
      <c r="I108" s="119"/>
      <c r="J108" s="6"/>
      <c r="K108" s="6"/>
      <c r="L108" s="128"/>
      <c r="O108" s="7"/>
      <c r="P108" s="7"/>
    </row>
    <row r="109" spans="1:16" x14ac:dyDescent="0.35">
      <c r="A109" s="7"/>
      <c r="B109" s="7"/>
      <c r="O109" s="7"/>
      <c r="P109" s="7"/>
    </row>
    <row r="110" spans="1:16" x14ac:dyDescent="0.35">
      <c r="A110" s="26"/>
      <c r="B110" s="7"/>
      <c r="O110" s="7"/>
      <c r="P110" s="7"/>
    </row>
    <row r="114" spans="2:11" x14ac:dyDescent="0.35">
      <c r="B114" s="148"/>
      <c r="C114" s="147"/>
      <c r="D114" s="147"/>
      <c r="F114" s="147"/>
      <c r="G114" s="147"/>
      <c r="H114" s="147"/>
      <c r="J114" s="107"/>
      <c r="K114" s="107"/>
    </row>
    <row r="115" spans="2:11" x14ac:dyDescent="0.35">
      <c r="B115" s="149"/>
      <c r="C115" s="147"/>
      <c r="D115" s="147"/>
      <c r="F115" s="147"/>
      <c r="G115" s="147"/>
      <c r="H115" s="147"/>
      <c r="J115" s="107"/>
      <c r="K115" s="107"/>
    </row>
  </sheetData>
  <mergeCells count="2">
    <mergeCell ref="A1:O1"/>
    <mergeCell ref="A75:O75"/>
  </mergeCells>
  <phoneticPr fontId="12" type="noConversion"/>
  <conditionalFormatting sqref="L4:M96">
    <cfRule type="expression" dxfId="1" priority="1">
      <formula>L4&gt;4</formula>
    </cfRule>
  </conditionalFormatting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31953-7D4C-449E-A4F4-E99AE86812AE}">
  <dimension ref="A1:AM82"/>
  <sheetViews>
    <sheetView tabSelected="1" topLeftCell="E26" workbookViewId="0">
      <selection activeCell="B38" sqref="B38"/>
    </sheetView>
  </sheetViews>
  <sheetFormatPr defaultRowHeight="14.5" x14ac:dyDescent="0.35"/>
  <cols>
    <col min="1" max="1" width="14" customWidth="1"/>
    <col min="2" max="2" width="18.1796875" customWidth="1"/>
    <col min="3" max="4" width="18" customWidth="1"/>
    <col min="5" max="5" width="15.36328125" customWidth="1"/>
    <col min="6" max="6" width="14.08984375" customWidth="1"/>
    <col min="7" max="7" width="16.6328125" customWidth="1"/>
    <col min="8" max="8" width="3.08984375" customWidth="1"/>
  </cols>
  <sheetData>
    <row r="1" spans="1:39" ht="21" x14ac:dyDescent="0.5">
      <c r="A1" s="152" t="s">
        <v>174</v>
      </c>
      <c r="B1" s="153"/>
      <c r="C1" s="153"/>
      <c r="D1" s="153"/>
      <c r="E1" s="153"/>
      <c r="F1" s="153"/>
      <c r="G1" s="153"/>
      <c r="H1" s="153"/>
      <c r="I1" s="166" t="s">
        <v>271</v>
      </c>
      <c r="J1" s="167"/>
      <c r="K1" s="167"/>
      <c r="L1" s="167"/>
      <c r="M1" s="167"/>
      <c r="N1" s="167"/>
      <c r="O1" s="167"/>
      <c r="P1" s="167"/>
      <c r="Q1" s="62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</row>
    <row r="2" spans="1:39" x14ac:dyDescent="0.35"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</row>
    <row r="3" spans="1:39" ht="29" x14ac:dyDescent="0.35">
      <c r="A3" s="1" t="s">
        <v>0</v>
      </c>
      <c r="B3" s="1" t="s">
        <v>236</v>
      </c>
      <c r="C3" s="1" t="s">
        <v>237</v>
      </c>
      <c r="D3" s="1" t="s">
        <v>238</v>
      </c>
      <c r="E3" s="1" t="s">
        <v>249</v>
      </c>
      <c r="F3" s="1" t="s">
        <v>235</v>
      </c>
      <c r="G3" s="1" t="s">
        <v>10</v>
      </c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</row>
    <row r="4" spans="1:39" x14ac:dyDescent="0.35">
      <c r="A4" s="3">
        <v>46102</v>
      </c>
      <c r="B4" s="2">
        <v>250</v>
      </c>
      <c r="C4" s="2"/>
      <c r="D4" s="2">
        <v>50</v>
      </c>
      <c r="E4" s="2"/>
      <c r="F4" s="2">
        <v>250</v>
      </c>
      <c r="G4" s="2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</row>
    <row r="5" spans="1:39" x14ac:dyDescent="0.35">
      <c r="A5" s="3">
        <v>46103</v>
      </c>
      <c r="B5" s="2">
        <v>60</v>
      </c>
      <c r="C5" s="2"/>
      <c r="D5" s="2">
        <v>6</v>
      </c>
      <c r="E5" s="2"/>
      <c r="F5" s="2">
        <v>250</v>
      </c>
      <c r="G5" s="2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4"/>
      <c r="Z5" s="164"/>
      <c r="AA5" s="164"/>
      <c r="AB5" s="164"/>
      <c r="AC5" s="164"/>
      <c r="AD5" s="164"/>
      <c r="AE5" s="164"/>
      <c r="AF5" s="164"/>
      <c r="AG5" s="164"/>
      <c r="AH5" s="164"/>
      <c r="AI5" s="164"/>
      <c r="AJ5" s="164"/>
      <c r="AK5" s="164"/>
      <c r="AL5" s="164"/>
      <c r="AM5" s="164"/>
    </row>
    <row r="6" spans="1:39" x14ac:dyDescent="0.35">
      <c r="A6" s="3">
        <v>46104</v>
      </c>
      <c r="B6" s="2">
        <v>50</v>
      </c>
      <c r="C6" s="2"/>
      <c r="D6" s="2">
        <v>3.5</v>
      </c>
      <c r="E6" s="2"/>
      <c r="F6" s="2"/>
      <c r="G6" s="2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  <c r="AA6" s="164"/>
      <c r="AB6" s="164"/>
      <c r="AC6" s="164"/>
      <c r="AD6" s="164"/>
      <c r="AE6" s="164"/>
      <c r="AF6" s="164"/>
      <c r="AG6" s="164"/>
      <c r="AH6" s="164"/>
      <c r="AI6" s="164"/>
      <c r="AJ6" s="164"/>
      <c r="AK6" s="164"/>
      <c r="AL6" s="164"/>
      <c r="AM6" s="164"/>
    </row>
    <row r="7" spans="1:39" x14ac:dyDescent="0.35">
      <c r="A7" s="3">
        <v>46105</v>
      </c>
      <c r="B7" s="2">
        <v>25</v>
      </c>
      <c r="C7" s="2">
        <v>25</v>
      </c>
      <c r="D7" s="2">
        <v>4</v>
      </c>
      <c r="E7" s="2"/>
      <c r="F7" s="2"/>
      <c r="G7" s="2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4"/>
      <c r="AH7" s="164"/>
      <c r="AI7" s="164"/>
      <c r="AJ7" s="164"/>
      <c r="AK7" s="164"/>
      <c r="AL7" s="164"/>
      <c r="AM7" s="164"/>
    </row>
    <row r="8" spans="1:39" x14ac:dyDescent="0.35">
      <c r="A8" s="3">
        <v>46106</v>
      </c>
      <c r="B8" s="2">
        <v>75</v>
      </c>
      <c r="C8" s="2"/>
      <c r="D8" s="2">
        <v>23</v>
      </c>
      <c r="E8" s="2"/>
      <c r="F8" s="2"/>
      <c r="G8" s="2"/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4"/>
      <c r="AH8" s="164"/>
      <c r="AI8" s="164"/>
      <c r="AJ8" s="164"/>
      <c r="AK8" s="164"/>
      <c r="AL8" s="164"/>
      <c r="AM8" s="164"/>
    </row>
    <row r="9" spans="1:39" x14ac:dyDescent="0.35">
      <c r="A9" s="3">
        <v>46107</v>
      </c>
      <c r="B9" s="2">
        <v>75</v>
      </c>
      <c r="C9" s="2"/>
      <c r="D9" s="2">
        <v>5</v>
      </c>
      <c r="E9" s="2"/>
      <c r="F9" s="2"/>
      <c r="G9" s="2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  <c r="AA9" s="164"/>
      <c r="AB9" s="164"/>
      <c r="AC9" s="164"/>
      <c r="AD9" s="164"/>
      <c r="AE9" s="164"/>
      <c r="AF9" s="164"/>
      <c r="AG9" s="164"/>
      <c r="AH9" s="164"/>
      <c r="AI9" s="164"/>
      <c r="AJ9" s="164"/>
      <c r="AK9" s="164"/>
      <c r="AL9" s="164"/>
      <c r="AM9" s="164"/>
    </row>
    <row r="10" spans="1:39" x14ac:dyDescent="0.35">
      <c r="A10" s="3">
        <v>46108</v>
      </c>
      <c r="B10" s="2"/>
      <c r="C10" s="2">
        <v>62</v>
      </c>
      <c r="D10" s="2">
        <v>4</v>
      </c>
      <c r="E10" s="2"/>
      <c r="F10" s="2"/>
      <c r="G10" s="2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  <c r="AB10" s="164"/>
      <c r="AC10" s="164"/>
      <c r="AD10" s="164"/>
      <c r="AE10" s="164"/>
      <c r="AF10" s="164"/>
      <c r="AG10" s="164"/>
      <c r="AH10" s="164"/>
      <c r="AI10" s="164"/>
      <c r="AJ10" s="164"/>
      <c r="AK10" s="164"/>
      <c r="AL10" s="164"/>
      <c r="AM10" s="164"/>
    </row>
    <row r="11" spans="1:39" x14ac:dyDescent="0.35">
      <c r="A11" s="3">
        <v>46111</v>
      </c>
      <c r="B11" s="2">
        <v>50</v>
      </c>
      <c r="C11" s="2">
        <v>50</v>
      </c>
      <c r="D11" s="2">
        <v>50</v>
      </c>
      <c r="E11" s="2"/>
      <c r="F11" s="2"/>
      <c r="G11" s="2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4"/>
      <c r="U11" s="164"/>
      <c r="V11" s="164"/>
      <c r="W11" s="164"/>
      <c r="X11" s="164"/>
      <c r="Y11" s="164"/>
      <c r="Z11" s="164"/>
      <c r="AA11" s="164"/>
      <c r="AB11" s="164"/>
      <c r="AC11" s="164"/>
      <c r="AD11" s="164"/>
      <c r="AE11" s="164"/>
      <c r="AF11" s="164"/>
      <c r="AG11" s="164"/>
      <c r="AH11" s="164"/>
      <c r="AI11" s="164"/>
      <c r="AJ11" s="164"/>
      <c r="AK11" s="164"/>
      <c r="AL11" s="164"/>
      <c r="AM11" s="164"/>
    </row>
    <row r="12" spans="1:39" ht="14" customHeight="1" x14ac:dyDescent="0.35">
      <c r="A12" s="3">
        <v>46112</v>
      </c>
      <c r="B12" s="2">
        <v>50</v>
      </c>
      <c r="C12" s="2"/>
      <c r="D12" s="2">
        <v>25</v>
      </c>
      <c r="E12" s="2"/>
      <c r="F12" s="2"/>
      <c r="G12" s="2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4"/>
      <c r="AC12" s="164"/>
      <c r="AD12" s="164"/>
      <c r="AE12" s="164"/>
      <c r="AF12" s="164"/>
      <c r="AG12" s="164"/>
      <c r="AH12" s="164"/>
      <c r="AI12" s="164"/>
      <c r="AJ12" s="164"/>
      <c r="AK12" s="164"/>
      <c r="AL12" s="164"/>
      <c r="AM12" s="164"/>
    </row>
    <row r="13" spans="1:39" ht="14" customHeight="1" x14ac:dyDescent="0.35">
      <c r="A13" s="3"/>
      <c r="B13" s="2">
        <v>35</v>
      </c>
      <c r="C13" s="2">
        <v>25</v>
      </c>
      <c r="D13" s="2">
        <v>50</v>
      </c>
      <c r="E13" s="2"/>
      <c r="F13" s="2"/>
      <c r="G13" s="2"/>
      <c r="I13" s="164"/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64"/>
      <c r="U13" s="164"/>
      <c r="V13" s="164"/>
      <c r="W13" s="164"/>
      <c r="X13" s="164"/>
      <c r="Y13" s="164"/>
      <c r="Z13" s="164"/>
      <c r="AA13" s="164"/>
      <c r="AB13" s="164"/>
      <c r="AC13" s="164"/>
      <c r="AD13" s="164"/>
      <c r="AE13" s="164"/>
      <c r="AF13" s="164"/>
      <c r="AG13" s="164"/>
      <c r="AH13" s="164"/>
      <c r="AI13" s="164"/>
      <c r="AJ13" s="164"/>
      <c r="AK13" s="164"/>
      <c r="AL13" s="164"/>
      <c r="AM13" s="164"/>
    </row>
    <row r="14" spans="1:39" ht="14" customHeight="1" x14ac:dyDescent="0.35">
      <c r="A14" s="3">
        <v>46113</v>
      </c>
      <c r="B14" s="2">
        <v>25</v>
      </c>
      <c r="C14" s="2"/>
      <c r="D14" s="2">
        <v>15</v>
      </c>
      <c r="E14" s="2"/>
      <c r="F14" s="2"/>
      <c r="G14" s="2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4"/>
      <c r="U14" s="164"/>
      <c r="V14" s="164"/>
      <c r="W14" s="164"/>
      <c r="X14" s="164"/>
      <c r="Y14" s="164"/>
      <c r="Z14" s="164"/>
      <c r="AA14" s="164"/>
      <c r="AB14" s="164"/>
      <c r="AC14" s="164"/>
      <c r="AD14" s="164"/>
      <c r="AE14" s="164"/>
      <c r="AF14" s="164"/>
      <c r="AG14" s="164"/>
      <c r="AH14" s="164"/>
      <c r="AI14" s="164"/>
      <c r="AJ14" s="164"/>
      <c r="AK14" s="164"/>
      <c r="AL14" s="164"/>
      <c r="AM14" s="164"/>
    </row>
    <row r="15" spans="1:39" ht="14" customHeight="1" x14ac:dyDescent="0.35">
      <c r="A15" s="3">
        <v>46120</v>
      </c>
      <c r="B15" s="2">
        <v>75</v>
      </c>
      <c r="C15" s="2">
        <v>75</v>
      </c>
      <c r="D15" s="2">
        <v>63</v>
      </c>
      <c r="E15" s="2"/>
      <c r="F15" s="2"/>
      <c r="G15" s="2"/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164"/>
      <c r="AK15" s="164"/>
      <c r="AL15" s="164"/>
      <c r="AM15" s="164"/>
    </row>
    <row r="16" spans="1:39" ht="14" customHeight="1" x14ac:dyDescent="0.35">
      <c r="A16" s="3">
        <v>46121</v>
      </c>
      <c r="B16" s="2">
        <v>75</v>
      </c>
      <c r="C16" s="2">
        <v>25</v>
      </c>
      <c r="D16" s="2">
        <v>75</v>
      </c>
      <c r="E16" s="2"/>
      <c r="F16" s="2"/>
      <c r="G16" s="2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  <c r="AK16" s="164"/>
      <c r="AL16" s="164"/>
      <c r="AM16" s="164"/>
    </row>
    <row r="17" spans="1:39" ht="14" customHeight="1" x14ac:dyDescent="0.35">
      <c r="A17" s="3"/>
      <c r="B17" s="2">
        <v>75</v>
      </c>
      <c r="C17" s="2">
        <v>25</v>
      </c>
      <c r="D17" s="2">
        <v>50</v>
      </c>
      <c r="E17" s="2"/>
      <c r="F17" s="2"/>
      <c r="G17" s="2"/>
      <c r="I17" s="164"/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/>
      <c r="AH17" s="164"/>
      <c r="AI17" s="164"/>
      <c r="AJ17" s="164"/>
      <c r="AK17" s="164"/>
      <c r="AL17" s="164"/>
      <c r="AM17" s="164"/>
    </row>
    <row r="18" spans="1:39" ht="14" customHeight="1" x14ac:dyDescent="0.35">
      <c r="A18" s="3">
        <v>46122</v>
      </c>
      <c r="B18" s="2">
        <v>25</v>
      </c>
      <c r="C18" s="2">
        <v>50</v>
      </c>
      <c r="D18" s="2">
        <v>25</v>
      </c>
      <c r="E18" s="2"/>
      <c r="F18" s="2"/>
      <c r="G18" s="2"/>
      <c r="I18" s="164"/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164"/>
      <c r="AH18" s="164"/>
      <c r="AI18" s="164"/>
      <c r="AJ18" s="164"/>
      <c r="AK18" s="164"/>
      <c r="AL18" s="164"/>
      <c r="AM18" s="164"/>
    </row>
    <row r="19" spans="1:39" ht="14" customHeight="1" x14ac:dyDescent="0.35">
      <c r="A19" s="3">
        <v>46123</v>
      </c>
      <c r="B19" s="2">
        <v>75</v>
      </c>
      <c r="C19" s="2">
        <v>75</v>
      </c>
      <c r="D19" s="2">
        <v>8</v>
      </c>
      <c r="E19" s="2"/>
      <c r="F19" s="2"/>
      <c r="G19" s="2"/>
      <c r="I19" s="164"/>
      <c r="J19" s="164"/>
      <c r="K19" s="164"/>
      <c r="L19" s="164"/>
      <c r="M19" s="164"/>
      <c r="N19" s="164"/>
      <c r="O19" s="164"/>
      <c r="P19" s="164"/>
      <c r="Q19" s="164"/>
      <c r="R19" s="164"/>
      <c r="S19" s="164"/>
      <c r="T19" s="164"/>
      <c r="U19" s="164"/>
      <c r="V19" s="164"/>
      <c r="W19" s="164"/>
      <c r="X19" s="164"/>
      <c r="Y19" s="164"/>
      <c r="Z19" s="164"/>
      <c r="AA19" s="164"/>
      <c r="AB19" s="164"/>
      <c r="AC19" s="164"/>
      <c r="AD19" s="164"/>
      <c r="AE19" s="164"/>
      <c r="AF19" s="164"/>
      <c r="AG19" s="164"/>
      <c r="AH19" s="164"/>
      <c r="AI19" s="164"/>
      <c r="AJ19" s="164"/>
      <c r="AK19" s="164"/>
      <c r="AL19" s="164"/>
      <c r="AM19" s="164"/>
    </row>
    <row r="20" spans="1:39" ht="14" customHeight="1" x14ac:dyDescent="0.35">
      <c r="A20" s="3">
        <v>46124</v>
      </c>
      <c r="B20" s="2">
        <v>25</v>
      </c>
      <c r="C20" s="2">
        <v>25</v>
      </c>
      <c r="D20" s="2">
        <v>13</v>
      </c>
      <c r="E20" s="2"/>
      <c r="F20" s="2"/>
      <c r="G20" s="2"/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  <c r="AC20" s="164"/>
      <c r="AD20" s="164"/>
      <c r="AE20" s="164"/>
      <c r="AF20" s="164"/>
      <c r="AG20" s="164"/>
      <c r="AH20" s="164"/>
      <c r="AI20" s="164"/>
      <c r="AJ20" s="164"/>
      <c r="AK20" s="164"/>
      <c r="AL20" s="164"/>
      <c r="AM20" s="164"/>
    </row>
    <row r="21" spans="1:39" ht="14" customHeight="1" x14ac:dyDescent="0.35">
      <c r="A21" s="3">
        <v>46125</v>
      </c>
      <c r="B21" s="2">
        <v>82</v>
      </c>
      <c r="C21" s="2">
        <v>75</v>
      </c>
      <c r="D21" s="2">
        <v>38</v>
      </c>
      <c r="E21" s="2"/>
      <c r="F21" s="2"/>
      <c r="G21" s="2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</row>
    <row r="22" spans="1:39" ht="14" customHeight="1" x14ac:dyDescent="0.35">
      <c r="A22" s="3">
        <v>46126</v>
      </c>
      <c r="B22" s="2">
        <v>100</v>
      </c>
      <c r="C22" s="2"/>
      <c r="D22" s="2">
        <v>25</v>
      </c>
      <c r="E22" s="2"/>
      <c r="F22" s="2"/>
      <c r="G22" s="2"/>
      <c r="I22" s="164"/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4"/>
      <c r="U22" s="164"/>
      <c r="V22" s="164"/>
      <c r="W22" s="164"/>
      <c r="X22" s="164"/>
      <c r="Y22" s="164"/>
      <c r="Z22" s="164"/>
      <c r="AA22" s="164"/>
      <c r="AB22" s="164"/>
      <c r="AC22" s="164"/>
      <c r="AD22" s="164"/>
      <c r="AE22" s="164"/>
      <c r="AF22" s="164"/>
      <c r="AG22" s="164"/>
      <c r="AH22" s="164"/>
      <c r="AI22" s="164"/>
      <c r="AJ22" s="164"/>
      <c r="AK22" s="164"/>
      <c r="AL22" s="164"/>
      <c r="AM22" s="164"/>
    </row>
    <row r="23" spans="1:39" ht="14" customHeight="1" x14ac:dyDescent="0.35">
      <c r="A23" s="3"/>
      <c r="B23" s="2">
        <v>100</v>
      </c>
      <c r="C23" s="2">
        <v>100</v>
      </c>
      <c r="D23" s="2">
        <v>25</v>
      </c>
      <c r="E23" s="2"/>
      <c r="F23" s="2"/>
      <c r="G23" s="2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  <c r="AA23" s="164"/>
      <c r="AB23" s="164"/>
      <c r="AC23" s="164"/>
      <c r="AD23" s="164"/>
      <c r="AE23" s="164"/>
      <c r="AF23" s="164"/>
      <c r="AG23" s="164"/>
      <c r="AH23" s="164"/>
      <c r="AI23" s="164"/>
      <c r="AJ23" s="164"/>
      <c r="AK23" s="164"/>
      <c r="AL23" s="164"/>
      <c r="AM23" s="164"/>
    </row>
    <row r="24" spans="1:39" ht="14" customHeight="1" x14ac:dyDescent="0.35">
      <c r="A24" s="3">
        <v>46128</v>
      </c>
      <c r="B24" s="2">
        <v>100</v>
      </c>
      <c r="C24" s="2">
        <v>75</v>
      </c>
      <c r="D24" s="2"/>
      <c r="E24" s="2"/>
      <c r="F24" s="2"/>
      <c r="G24" s="2"/>
      <c r="I24" s="164"/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  <c r="AA24" s="164"/>
      <c r="AB24" s="164"/>
      <c r="AC24" s="164"/>
      <c r="AD24" s="164"/>
      <c r="AE24" s="164"/>
      <c r="AF24" s="164"/>
      <c r="AG24" s="164"/>
      <c r="AH24" s="164"/>
      <c r="AI24" s="164"/>
      <c r="AJ24" s="164"/>
      <c r="AK24" s="164"/>
      <c r="AL24" s="164"/>
      <c r="AM24" s="164"/>
    </row>
    <row r="25" spans="1:39" ht="14" customHeight="1" x14ac:dyDescent="0.35">
      <c r="A25" s="3"/>
      <c r="B25" s="2">
        <v>250</v>
      </c>
      <c r="C25" s="2">
        <v>75</v>
      </c>
      <c r="D25" s="2">
        <v>18</v>
      </c>
      <c r="E25" s="2"/>
      <c r="F25" s="2"/>
      <c r="G25" s="2"/>
      <c r="I25" s="164"/>
      <c r="J25" s="164"/>
      <c r="K25" s="164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4"/>
      <c r="Z25" s="164"/>
      <c r="AA25" s="164"/>
      <c r="AB25" s="164"/>
      <c r="AC25" s="164"/>
      <c r="AD25" s="164"/>
      <c r="AE25" s="164"/>
      <c r="AF25" s="164"/>
      <c r="AG25" s="164"/>
      <c r="AH25" s="164"/>
      <c r="AI25" s="164"/>
      <c r="AJ25" s="164"/>
      <c r="AK25" s="164"/>
      <c r="AL25" s="164"/>
      <c r="AM25" s="164"/>
    </row>
    <row r="26" spans="1:39" ht="14" customHeight="1" x14ac:dyDescent="0.35">
      <c r="A26" s="3">
        <v>46129</v>
      </c>
      <c r="B26" s="2">
        <v>75</v>
      </c>
      <c r="C26" s="2">
        <v>50</v>
      </c>
      <c r="D26" s="2">
        <v>25</v>
      </c>
      <c r="E26" s="2"/>
      <c r="F26" s="2"/>
      <c r="G26" s="2"/>
      <c r="I26" s="164"/>
      <c r="J26" s="164"/>
      <c r="K26" s="164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  <c r="AA26" s="164"/>
      <c r="AB26" s="164"/>
      <c r="AC26" s="164"/>
      <c r="AD26" s="164"/>
      <c r="AE26" s="164"/>
      <c r="AF26" s="164"/>
      <c r="AG26" s="164"/>
      <c r="AH26" s="164"/>
      <c r="AI26" s="164"/>
      <c r="AJ26" s="164"/>
      <c r="AK26" s="164"/>
      <c r="AL26" s="164"/>
      <c r="AM26" s="164"/>
    </row>
    <row r="27" spans="1:39" ht="14" customHeight="1" x14ac:dyDescent="0.35">
      <c r="A27" s="3">
        <v>46130</v>
      </c>
      <c r="B27" s="2">
        <v>175</v>
      </c>
      <c r="C27" s="2">
        <v>50</v>
      </c>
      <c r="D27" s="2">
        <v>29</v>
      </c>
      <c r="E27" s="2"/>
      <c r="F27" s="2"/>
      <c r="G27" s="2"/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  <c r="AA27" s="164"/>
      <c r="AB27" s="164"/>
      <c r="AC27" s="164"/>
      <c r="AD27" s="164"/>
      <c r="AE27" s="164"/>
      <c r="AF27" s="164"/>
      <c r="AG27" s="164"/>
      <c r="AH27" s="164"/>
      <c r="AI27" s="164"/>
      <c r="AJ27" s="164"/>
      <c r="AK27" s="164"/>
      <c r="AL27" s="164"/>
      <c r="AM27" s="164"/>
    </row>
    <row r="28" spans="1:39" ht="14" customHeight="1" x14ac:dyDescent="0.35">
      <c r="A28" s="3"/>
      <c r="B28" s="2"/>
      <c r="C28" s="2"/>
      <c r="D28" s="2">
        <v>25</v>
      </c>
      <c r="E28" s="2"/>
      <c r="F28" s="2"/>
      <c r="G28" s="2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164"/>
      <c r="AH28" s="164"/>
      <c r="AI28" s="164"/>
      <c r="AJ28" s="164"/>
      <c r="AK28" s="164"/>
      <c r="AL28" s="164"/>
      <c r="AM28" s="164"/>
    </row>
    <row r="29" spans="1:39" ht="14" customHeight="1" x14ac:dyDescent="0.35">
      <c r="A29" s="3">
        <v>46131</v>
      </c>
      <c r="B29" s="2">
        <v>150</v>
      </c>
      <c r="C29" s="2">
        <v>25</v>
      </c>
      <c r="D29" s="2">
        <v>181</v>
      </c>
      <c r="E29" s="2"/>
      <c r="F29" s="2"/>
      <c r="G29" s="2"/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  <c r="AH29" s="164"/>
      <c r="AI29" s="164"/>
      <c r="AJ29" s="164"/>
      <c r="AK29" s="164"/>
      <c r="AL29" s="164"/>
      <c r="AM29" s="164"/>
    </row>
    <row r="30" spans="1:39" ht="14" customHeight="1" x14ac:dyDescent="0.35">
      <c r="A30" s="3"/>
      <c r="B30" s="2">
        <v>50</v>
      </c>
      <c r="C30" s="2"/>
      <c r="D30" s="2">
        <v>15</v>
      </c>
      <c r="E30" s="2"/>
      <c r="F30" s="2"/>
      <c r="G30" s="2"/>
      <c r="I30" s="164"/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  <c r="AA30" s="164"/>
      <c r="AB30" s="164"/>
      <c r="AC30" s="164"/>
      <c r="AD30" s="164"/>
      <c r="AE30" s="164"/>
      <c r="AF30" s="164"/>
      <c r="AG30" s="164"/>
      <c r="AH30" s="164"/>
      <c r="AI30" s="164"/>
      <c r="AJ30" s="164"/>
      <c r="AK30" s="164"/>
      <c r="AL30" s="164"/>
      <c r="AM30" s="164"/>
    </row>
    <row r="31" spans="1:39" ht="14" customHeight="1" x14ac:dyDescent="0.35">
      <c r="A31" s="3">
        <v>46133</v>
      </c>
      <c r="B31" s="2">
        <v>75</v>
      </c>
      <c r="C31" s="2">
        <v>50</v>
      </c>
      <c r="D31" s="2">
        <v>8</v>
      </c>
      <c r="E31" s="2"/>
      <c r="F31" s="2"/>
      <c r="G31" s="2"/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  <c r="AA31" s="164"/>
      <c r="AB31" s="164"/>
      <c r="AC31" s="164"/>
      <c r="AD31" s="164"/>
      <c r="AE31" s="164"/>
      <c r="AF31" s="164"/>
      <c r="AG31" s="164"/>
      <c r="AH31" s="164"/>
      <c r="AI31" s="164"/>
      <c r="AJ31" s="164"/>
      <c r="AK31" s="164"/>
      <c r="AL31" s="164"/>
      <c r="AM31" s="164"/>
    </row>
    <row r="32" spans="1:39" ht="14" customHeight="1" x14ac:dyDescent="0.35">
      <c r="A32" s="3">
        <v>46141</v>
      </c>
      <c r="B32" s="2"/>
      <c r="C32" s="2"/>
      <c r="D32" s="2"/>
      <c r="E32" s="2">
        <v>200</v>
      </c>
      <c r="F32" s="2"/>
      <c r="G32" s="2"/>
      <c r="I32" s="164"/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  <c r="AH32" s="164"/>
      <c r="AI32" s="164"/>
      <c r="AJ32" s="164"/>
      <c r="AK32" s="164"/>
      <c r="AL32" s="164"/>
      <c r="AM32" s="164"/>
    </row>
    <row r="33" spans="1:39" ht="14" customHeight="1" x14ac:dyDescent="0.35">
      <c r="A33" s="3">
        <v>46143</v>
      </c>
      <c r="B33" s="2"/>
      <c r="C33" s="2"/>
      <c r="D33" s="2"/>
      <c r="E33" s="2">
        <v>25</v>
      </c>
      <c r="F33" s="2"/>
      <c r="G33" s="2"/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/>
      <c r="AH33" s="164"/>
      <c r="AI33" s="164"/>
      <c r="AJ33" s="164"/>
      <c r="AK33" s="164"/>
      <c r="AL33" s="164"/>
      <c r="AM33" s="164"/>
    </row>
    <row r="34" spans="1:39" ht="14" customHeight="1" x14ac:dyDescent="0.35">
      <c r="A34" s="3">
        <v>46144</v>
      </c>
      <c r="B34" s="2"/>
      <c r="C34" s="2"/>
      <c r="D34" s="2"/>
      <c r="E34" s="2">
        <v>175</v>
      </c>
      <c r="F34" s="2"/>
      <c r="G34" s="2"/>
      <c r="I34" s="164"/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  <c r="AA34" s="164"/>
      <c r="AB34" s="164"/>
      <c r="AC34" s="164"/>
      <c r="AD34" s="164"/>
      <c r="AE34" s="164"/>
      <c r="AF34" s="164"/>
      <c r="AG34" s="164"/>
      <c r="AH34" s="164"/>
      <c r="AI34" s="164"/>
      <c r="AJ34" s="164"/>
      <c r="AK34" s="164"/>
      <c r="AL34" s="164"/>
      <c r="AM34" s="164"/>
    </row>
    <row r="35" spans="1:39" ht="14" customHeight="1" x14ac:dyDescent="0.35">
      <c r="A35" s="3"/>
      <c r="B35" s="2"/>
      <c r="C35" s="2"/>
      <c r="D35" s="2"/>
      <c r="E35" s="2"/>
      <c r="F35" s="2"/>
      <c r="G35" s="2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64"/>
      <c r="AL35" s="164"/>
      <c r="AM35" s="164"/>
    </row>
    <row r="36" spans="1:39" ht="14" customHeight="1" x14ac:dyDescent="0.35">
      <c r="A36" s="3" t="s">
        <v>266</v>
      </c>
      <c r="B36" s="2" t="s">
        <v>236</v>
      </c>
      <c r="C36" s="2" t="s">
        <v>264</v>
      </c>
      <c r="D36" s="2" t="s">
        <v>265</v>
      </c>
      <c r="E36" s="2" t="s">
        <v>249</v>
      </c>
      <c r="F36" s="2" t="s">
        <v>235</v>
      </c>
      <c r="G36" s="2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  <c r="AA36" s="164"/>
      <c r="AB36" s="164"/>
      <c r="AC36" s="164"/>
      <c r="AD36" s="164"/>
      <c r="AE36" s="164"/>
      <c r="AF36" s="164"/>
      <c r="AG36" s="164"/>
      <c r="AH36" s="164"/>
      <c r="AI36" s="164"/>
      <c r="AJ36" s="164"/>
      <c r="AK36" s="164"/>
      <c r="AL36" s="164"/>
      <c r="AM36" s="164"/>
    </row>
    <row r="37" spans="1:39" ht="14" customHeight="1" x14ac:dyDescent="0.35">
      <c r="A37" s="3" t="s">
        <v>175</v>
      </c>
      <c r="B37" s="99">
        <v>486.36</v>
      </c>
      <c r="C37" s="99">
        <v>0</v>
      </c>
      <c r="D37" s="99">
        <v>3.65</v>
      </c>
      <c r="E37" s="99">
        <v>341.28</v>
      </c>
      <c r="F37" s="138">
        <v>21375</v>
      </c>
      <c r="G37" s="2"/>
      <c r="I37" s="164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  <c r="Z37" s="164"/>
      <c r="AA37" s="164"/>
      <c r="AB37" s="164"/>
      <c r="AC37" s="164"/>
      <c r="AD37" s="164"/>
      <c r="AE37" s="164"/>
      <c r="AF37" s="164"/>
      <c r="AG37" s="164"/>
      <c r="AH37" s="164"/>
      <c r="AI37" s="164"/>
      <c r="AJ37" s="164"/>
      <c r="AK37" s="164"/>
      <c r="AL37" s="164"/>
      <c r="AM37" s="164"/>
    </row>
    <row r="38" spans="1:39" s="73" customFormat="1" x14ac:dyDescent="0.35">
      <c r="A38" s="3" t="s">
        <v>176</v>
      </c>
      <c r="B38" s="99">
        <f>SUM(B4:B35)</f>
        <v>2202</v>
      </c>
      <c r="C38" s="99">
        <f>SUM(C5:C33)</f>
        <v>937</v>
      </c>
      <c r="D38" s="99">
        <f>SUM(D4:D33)</f>
        <v>858.5</v>
      </c>
      <c r="E38" s="99">
        <f>SUM(E32:E35)</f>
        <v>400</v>
      </c>
      <c r="F38" s="99">
        <f>SUM(F4:F18)</f>
        <v>500</v>
      </c>
      <c r="G38" s="2"/>
      <c r="I38" s="165"/>
      <c r="J38" s="165"/>
      <c r="K38" s="165"/>
      <c r="L38" s="165"/>
      <c r="M38" s="165"/>
      <c r="N38" s="165"/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5"/>
      <c r="AA38" s="165"/>
      <c r="AB38" s="165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</row>
    <row r="39" spans="1:39" ht="14" customHeight="1" x14ac:dyDescent="0.35">
      <c r="A39" s="3" t="s">
        <v>256</v>
      </c>
      <c r="B39" s="99">
        <f>B38-B37</f>
        <v>1715.6399999999999</v>
      </c>
      <c r="C39" s="99">
        <f>C38-C37</f>
        <v>937</v>
      </c>
      <c r="D39" s="99">
        <f>D38-D37</f>
        <v>854.85</v>
      </c>
      <c r="E39" s="99">
        <f>E38-E37</f>
        <v>58.720000000000027</v>
      </c>
      <c r="F39" s="139"/>
      <c r="G39" s="2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  <c r="AH39" s="164"/>
      <c r="AI39" s="164"/>
      <c r="AJ39" s="164"/>
      <c r="AK39" s="164"/>
      <c r="AL39" s="164"/>
      <c r="AM39" s="164"/>
    </row>
    <row r="40" spans="1:39" ht="14" customHeight="1" x14ac:dyDescent="0.35">
      <c r="A40" t="s">
        <v>257</v>
      </c>
      <c r="B40" s="96">
        <f>B38/B37</f>
        <v>4.5275104860597084</v>
      </c>
      <c r="C40" s="140"/>
      <c r="D40" s="140">
        <f>D38/D37</f>
        <v>235.20547945205479</v>
      </c>
      <c r="E40" s="140">
        <f>E38/E37</f>
        <v>1.1720581340834506</v>
      </c>
      <c r="F40" s="140">
        <f>F38/F37</f>
        <v>2.3391812865497075E-2</v>
      </c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AG40" s="164"/>
      <c r="AH40" s="164"/>
      <c r="AI40" s="164"/>
      <c r="AJ40" s="164"/>
      <c r="AK40" s="164"/>
      <c r="AL40" s="164"/>
      <c r="AM40" s="164"/>
    </row>
    <row r="41" spans="1:39" s="142" customFormat="1" x14ac:dyDescent="0.35">
      <c r="A41" s="142" t="s">
        <v>184</v>
      </c>
      <c r="B41" s="143" t="str">
        <f>IF(B38&gt;B37,"ESTOURADO",IF(B39&gt;=0.7,"ALERTA","OK"))</f>
        <v>ESTOURADO</v>
      </c>
      <c r="C41" s="143" t="str">
        <f t="shared" ref="C41:E41" si="0">IF(C38&gt;C37,"ESTOURADO",IF(C39&gt;=0.7,"ALERTA","OK"))</f>
        <v>ESTOURADO</v>
      </c>
      <c r="D41" s="143" t="str">
        <f t="shared" si="0"/>
        <v>ESTOURADO</v>
      </c>
      <c r="E41" s="143" t="str">
        <f t="shared" si="0"/>
        <v>ESTOURADO</v>
      </c>
      <c r="F41" s="143" t="str">
        <f>IF(F38&gt;F37,"ESTOURADO",IF(F39&gt;=0.7,"ALERTA","OK"))</f>
        <v>OK</v>
      </c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Y41" s="163"/>
      <c r="Z41" s="163"/>
      <c r="AA41" s="163"/>
      <c r="AB41" s="163"/>
      <c r="AC41" s="163"/>
      <c r="AD41" s="163"/>
      <c r="AE41" s="163"/>
      <c r="AF41" s="163"/>
      <c r="AG41" s="163"/>
      <c r="AH41" s="163"/>
      <c r="AI41" s="163"/>
      <c r="AJ41" s="163"/>
      <c r="AK41" s="163"/>
      <c r="AL41" s="163"/>
      <c r="AM41" s="163"/>
    </row>
    <row r="42" spans="1:39" x14ac:dyDescent="0.35">
      <c r="A42" s="80"/>
      <c r="B42" s="2"/>
      <c r="C42" s="74"/>
      <c r="D42" s="74"/>
      <c r="E42" s="74"/>
      <c r="F42" s="74"/>
      <c r="G42" s="74"/>
      <c r="H42" s="7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  <c r="AA42" s="164"/>
      <c r="AB42" s="164"/>
      <c r="AC42" s="164"/>
      <c r="AD42" s="164"/>
      <c r="AE42" s="164"/>
      <c r="AF42" s="164"/>
      <c r="AG42" s="164"/>
      <c r="AH42" s="164"/>
      <c r="AI42" s="164"/>
      <c r="AJ42" s="164"/>
      <c r="AK42" s="164"/>
      <c r="AL42" s="164"/>
      <c r="AM42" s="164"/>
    </row>
    <row r="43" spans="1:39" x14ac:dyDescent="0.35">
      <c r="A43" s="3"/>
      <c r="B43" s="2"/>
      <c r="C43" s="2"/>
      <c r="D43" s="2"/>
      <c r="E43" s="2"/>
      <c r="F43" s="2"/>
      <c r="G43" s="2"/>
      <c r="H43" s="7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  <c r="AA43" s="164"/>
      <c r="AB43" s="164"/>
      <c r="AC43" s="164"/>
      <c r="AD43" s="164"/>
      <c r="AE43" s="164"/>
      <c r="AF43" s="164"/>
      <c r="AG43" s="164"/>
      <c r="AH43" s="164"/>
      <c r="AI43" s="164"/>
      <c r="AJ43" s="164"/>
      <c r="AK43" s="164"/>
      <c r="AL43" s="164"/>
      <c r="AM43" s="164"/>
    </row>
    <row r="44" spans="1:39" x14ac:dyDescent="0.35"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4"/>
      <c r="AK44" s="164"/>
      <c r="AL44" s="164"/>
      <c r="AM44" s="164"/>
    </row>
    <row r="45" spans="1:39" x14ac:dyDescent="0.35">
      <c r="A45" s="7"/>
      <c r="B45" s="7"/>
      <c r="C45" s="7"/>
      <c r="D45" s="7"/>
    </row>
    <row r="46" spans="1:39" x14ac:dyDescent="0.35">
      <c r="A46" s="6"/>
      <c r="B46" s="6"/>
      <c r="C46" s="2"/>
      <c r="D46" s="7"/>
    </row>
    <row r="47" spans="1:39" x14ac:dyDescent="0.35">
      <c r="A47" s="6"/>
      <c r="B47" s="6"/>
      <c r="C47" s="2"/>
      <c r="D47" s="7"/>
    </row>
    <row r="48" spans="1:39" x14ac:dyDescent="0.35">
      <c r="A48" s="6"/>
      <c r="B48" s="6"/>
      <c r="C48" s="2"/>
      <c r="D48" s="7"/>
    </row>
    <row r="49" spans="1:8" x14ac:dyDescent="0.35">
      <c r="A49" s="2"/>
      <c r="B49" s="2"/>
      <c r="C49" s="2"/>
      <c r="D49" s="74"/>
    </row>
    <row r="50" spans="1:8" x14ac:dyDescent="0.35">
      <c r="A50" s="2"/>
      <c r="B50" s="2"/>
      <c r="C50" s="2"/>
      <c r="D50" s="2"/>
    </row>
    <row r="51" spans="1:8" x14ac:dyDescent="0.35">
      <c r="A51" s="3"/>
      <c r="B51" s="2"/>
      <c r="C51" s="2"/>
      <c r="D51" s="2"/>
      <c r="E51" s="2"/>
      <c r="F51" s="2"/>
      <c r="G51" s="2"/>
      <c r="H51" s="2"/>
    </row>
    <row r="52" spans="1:8" x14ac:dyDescent="0.35">
      <c r="A52" s="3"/>
      <c r="B52" s="2"/>
      <c r="C52" s="2"/>
      <c r="D52" s="2"/>
      <c r="E52" s="2"/>
      <c r="F52" s="2"/>
      <c r="G52" s="2"/>
      <c r="H52" s="2"/>
    </row>
    <row r="53" spans="1:8" x14ac:dyDescent="0.35">
      <c r="A53" s="3"/>
      <c r="B53" s="2"/>
      <c r="C53" s="2"/>
      <c r="D53" s="2"/>
      <c r="E53" s="2"/>
      <c r="F53" s="2"/>
      <c r="G53" s="2"/>
      <c r="H53" s="2"/>
    </row>
    <row r="54" spans="1:8" x14ac:dyDescent="0.35">
      <c r="A54" s="3"/>
      <c r="B54" s="2"/>
      <c r="C54" s="2"/>
      <c r="D54" s="2"/>
      <c r="E54" s="2"/>
      <c r="F54" s="2"/>
      <c r="G54" s="2"/>
      <c r="H54" s="2"/>
    </row>
    <row r="55" spans="1:8" x14ac:dyDescent="0.35">
      <c r="A55" s="3"/>
      <c r="B55" s="2"/>
      <c r="C55" s="2"/>
      <c r="D55" s="2"/>
      <c r="E55" s="2"/>
      <c r="F55" s="2"/>
      <c r="G55" s="2"/>
      <c r="H55" s="2"/>
    </row>
    <row r="56" spans="1:8" x14ac:dyDescent="0.35">
      <c r="A56" s="3"/>
      <c r="B56" s="2"/>
      <c r="C56" s="2"/>
      <c r="D56" s="2"/>
      <c r="E56" s="2"/>
      <c r="F56" s="2"/>
      <c r="G56" s="2"/>
      <c r="H56" s="2"/>
    </row>
    <row r="57" spans="1:8" x14ac:dyDescent="0.35">
      <c r="A57" s="3"/>
      <c r="B57" s="2"/>
      <c r="C57" s="2"/>
      <c r="D57" s="2"/>
      <c r="E57" s="2"/>
      <c r="F57" s="2"/>
      <c r="G57" s="2"/>
      <c r="H57" s="2"/>
    </row>
    <row r="58" spans="1:8" x14ac:dyDescent="0.35">
      <c r="A58" s="3"/>
      <c r="B58" s="2"/>
      <c r="C58" s="2"/>
      <c r="D58" s="2"/>
      <c r="E58" s="2"/>
      <c r="F58" s="2"/>
      <c r="G58" s="2"/>
      <c r="H58" s="2"/>
    </row>
    <row r="59" spans="1:8" x14ac:dyDescent="0.35">
      <c r="A59" s="3"/>
      <c r="B59" s="2"/>
      <c r="C59" s="2"/>
      <c r="D59" s="2"/>
      <c r="E59" s="2"/>
      <c r="F59" s="2"/>
      <c r="G59" s="2"/>
      <c r="H59" s="2"/>
    </row>
    <row r="60" spans="1:8" x14ac:dyDescent="0.35">
      <c r="A60" s="3"/>
      <c r="B60" s="2"/>
      <c r="C60" s="2"/>
      <c r="D60" s="2"/>
      <c r="E60" s="2"/>
      <c r="F60" s="2"/>
      <c r="G60" s="2"/>
      <c r="H60" s="2"/>
    </row>
    <row r="61" spans="1:8" x14ac:dyDescent="0.35">
      <c r="A61" s="3"/>
      <c r="B61" s="2"/>
      <c r="C61" s="2"/>
      <c r="D61" s="2"/>
      <c r="E61" s="2"/>
      <c r="F61" s="2"/>
      <c r="G61" s="2"/>
      <c r="H61" s="2"/>
    </row>
    <row r="62" spans="1:8" x14ac:dyDescent="0.35">
      <c r="A62" s="3"/>
      <c r="B62" s="2"/>
      <c r="C62" s="2"/>
      <c r="D62" s="2"/>
      <c r="E62" s="2"/>
      <c r="F62" s="2"/>
      <c r="G62" s="2"/>
      <c r="H62" s="2"/>
    </row>
    <row r="63" spans="1:8" ht="16" customHeight="1" x14ac:dyDescent="0.35">
      <c r="A63" s="2"/>
      <c r="B63" s="2"/>
      <c r="C63" s="2"/>
      <c r="D63" s="2"/>
      <c r="E63" s="2"/>
      <c r="F63" s="2"/>
      <c r="G63" s="2"/>
      <c r="H63" s="2"/>
    </row>
    <row r="64" spans="1:8" ht="16" customHeight="1" x14ac:dyDescent="0.35">
      <c r="A64" s="2"/>
      <c r="B64" s="2"/>
      <c r="C64" s="2"/>
      <c r="D64" s="2"/>
      <c r="E64" s="2"/>
      <c r="F64" s="2"/>
      <c r="G64" s="2"/>
      <c r="H64" s="2"/>
    </row>
    <row r="65" spans="1:8" x14ac:dyDescent="0.35">
      <c r="A65" s="2"/>
      <c r="B65" s="2"/>
      <c r="C65" s="2"/>
      <c r="D65" s="2"/>
      <c r="E65" s="2"/>
      <c r="F65" s="2"/>
      <c r="G65" s="2"/>
      <c r="H65" s="2"/>
    </row>
    <row r="72" spans="1:8" x14ac:dyDescent="0.35">
      <c r="A72" s="25"/>
      <c r="B72" s="6"/>
      <c r="C72" s="6"/>
      <c r="D72" s="6"/>
      <c r="E72" s="6"/>
      <c r="F72" s="6"/>
      <c r="G72" s="2"/>
      <c r="H72" s="7"/>
    </row>
    <row r="73" spans="1:8" x14ac:dyDescent="0.35">
      <c r="A73" s="25"/>
      <c r="B73" s="6"/>
      <c r="C73" s="6"/>
      <c r="D73" s="6"/>
      <c r="E73" s="6"/>
      <c r="F73" s="6"/>
      <c r="G73" s="2"/>
      <c r="H73" s="7"/>
    </row>
    <row r="74" spans="1:8" x14ac:dyDescent="0.35">
      <c r="A74" s="25"/>
      <c r="B74" s="6"/>
      <c r="C74" s="6"/>
      <c r="D74" s="6"/>
      <c r="E74" s="6"/>
      <c r="F74" s="6"/>
      <c r="G74" s="2"/>
      <c r="H74" s="7"/>
    </row>
    <row r="75" spans="1:8" x14ac:dyDescent="0.35">
      <c r="A75" s="25"/>
      <c r="B75" s="6"/>
      <c r="C75" s="6"/>
      <c r="D75" s="6"/>
      <c r="E75" s="6"/>
      <c r="F75" s="6"/>
      <c r="G75" s="2"/>
      <c r="H75" s="7"/>
    </row>
    <row r="76" spans="1:8" x14ac:dyDescent="0.35">
      <c r="A76" s="7"/>
      <c r="B76" s="7"/>
      <c r="C76" s="7"/>
      <c r="D76" s="7"/>
      <c r="E76" s="7"/>
      <c r="F76" s="7"/>
      <c r="H76" s="7"/>
    </row>
    <row r="77" spans="1:8" x14ac:dyDescent="0.35">
      <c r="A77" s="26"/>
      <c r="B77" s="7"/>
      <c r="C77" s="7"/>
      <c r="D77" s="7"/>
      <c r="E77" s="7"/>
      <c r="F77" s="7"/>
      <c r="H77" s="7"/>
    </row>
    <row r="81" spans="2:7" x14ac:dyDescent="0.35">
      <c r="B81" s="148"/>
      <c r="C81" s="148"/>
      <c r="D81" s="148"/>
      <c r="E81" s="148"/>
      <c r="F81" s="148"/>
      <c r="G81" s="148"/>
    </row>
    <row r="82" spans="2:7" x14ac:dyDescent="0.35">
      <c r="B82" s="149"/>
      <c r="C82" s="148"/>
      <c r="D82" s="148"/>
      <c r="E82" s="148"/>
      <c r="F82" s="148"/>
      <c r="G82" s="148"/>
    </row>
  </sheetData>
  <mergeCells count="2">
    <mergeCell ref="A1:H1"/>
    <mergeCell ref="I1:P1"/>
  </mergeCells>
  <pageMargins left="0.75" right="0.75" top="1" bottom="1" header="0.5" footer="0.5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C9365-D20C-4DA7-BF5D-1E304AC71832}">
  <dimension ref="A1:Q52"/>
  <sheetViews>
    <sheetView workbookViewId="0">
      <selection activeCell="E13" sqref="E13"/>
    </sheetView>
  </sheetViews>
  <sheetFormatPr defaultRowHeight="14.5" x14ac:dyDescent="0.35"/>
  <cols>
    <col min="1" max="1" width="14" customWidth="1"/>
    <col min="2" max="2" width="32.453125" customWidth="1"/>
    <col min="3" max="3" width="18" customWidth="1"/>
    <col min="4" max="4" width="22.36328125" customWidth="1"/>
    <col min="5" max="5" width="19.54296875" style="7" customWidth="1"/>
    <col min="6" max="6" width="22.6328125" style="7" customWidth="1"/>
    <col min="7" max="9" width="19.08984375" style="7" customWidth="1"/>
    <col min="10" max="10" width="18.6328125" style="7" customWidth="1"/>
    <col min="11" max="11" width="20" customWidth="1"/>
    <col min="12" max="12" width="18.90625" customWidth="1"/>
    <col min="13" max="13" width="18.7265625" style="7" customWidth="1"/>
    <col min="14" max="14" width="83.08984375" customWidth="1"/>
    <col min="15" max="15" width="16.81640625" customWidth="1"/>
    <col min="16" max="16" width="16.26953125" customWidth="1"/>
    <col min="17" max="17" width="19" customWidth="1"/>
  </cols>
  <sheetData>
    <row r="1" spans="1:17" ht="21" x14ac:dyDescent="0.35">
      <c r="A1" s="152" t="s">
        <v>180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62"/>
    </row>
    <row r="3" spans="1:17" x14ac:dyDescent="0.35">
      <c r="A3" s="1" t="s">
        <v>0</v>
      </c>
      <c r="B3" s="1" t="s">
        <v>1</v>
      </c>
      <c r="C3" s="1" t="s">
        <v>181</v>
      </c>
      <c r="D3" s="1" t="s">
        <v>3</v>
      </c>
      <c r="E3" s="5" t="s">
        <v>141</v>
      </c>
      <c r="F3" s="5" t="s">
        <v>176</v>
      </c>
      <c r="G3" s="5" t="s">
        <v>182</v>
      </c>
      <c r="H3" s="5" t="s">
        <v>183</v>
      </c>
      <c r="I3" s="5" t="s">
        <v>184</v>
      </c>
      <c r="J3" s="5" t="s">
        <v>147</v>
      </c>
      <c r="K3" s="1" t="s">
        <v>185</v>
      </c>
      <c r="L3" s="1" t="s">
        <v>7</v>
      </c>
      <c r="M3" s="5" t="s">
        <v>9</v>
      </c>
      <c r="N3" s="1" t="s">
        <v>10</v>
      </c>
      <c r="O3" s="1" t="s">
        <v>186</v>
      </c>
      <c r="P3" s="1" t="s">
        <v>187</v>
      </c>
      <c r="Q3" s="92" t="s">
        <v>188</v>
      </c>
    </row>
    <row r="4" spans="1:17" x14ac:dyDescent="0.35">
      <c r="A4" s="3"/>
      <c r="B4" s="2"/>
      <c r="C4" s="2"/>
      <c r="D4" s="2"/>
      <c r="E4" s="2"/>
      <c r="F4" s="2"/>
      <c r="G4" s="2"/>
      <c r="H4" s="79"/>
      <c r="I4" s="2"/>
      <c r="J4" s="6"/>
      <c r="K4" s="6"/>
      <c r="L4" s="6"/>
      <c r="M4" s="6"/>
      <c r="N4" s="2"/>
      <c r="O4" s="4"/>
      <c r="P4" s="4"/>
      <c r="Q4" s="28"/>
    </row>
    <row r="5" spans="1:17" x14ac:dyDescent="0.35">
      <c r="A5" s="3"/>
      <c r="B5" s="2"/>
      <c r="C5" s="2"/>
      <c r="D5" s="2"/>
      <c r="E5" s="2"/>
      <c r="F5" s="2"/>
      <c r="G5" s="2"/>
      <c r="H5" s="79"/>
      <c r="I5" s="2"/>
      <c r="J5" s="6"/>
      <c r="K5" s="6"/>
      <c r="L5" s="6"/>
      <c r="M5" s="6"/>
      <c r="N5" s="2"/>
      <c r="O5" s="4"/>
      <c r="P5" s="4"/>
      <c r="Q5" s="28"/>
    </row>
    <row r="6" spans="1:17" x14ac:dyDescent="0.35">
      <c r="A6" s="3"/>
      <c r="B6" s="2"/>
      <c r="C6" s="2"/>
      <c r="D6" s="2"/>
      <c r="E6" s="2"/>
      <c r="F6" s="2"/>
      <c r="G6" s="2"/>
      <c r="H6" s="79"/>
      <c r="I6" s="2"/>
      <c r="J6" s="6"/>
      <c r="K6" s="6"/>
      <c r="L6" s="6"/>
      <c r="M6" s="6"/>
      <c r="N6" s="2"/>
      <c r="O6" s="4"/>
      <c r="P6" s="4"/>
      <c r="Q6" s="28"/>
    </row>
    <row r="7" spans="1:17" x14ac:dyDescent="0.35">
      <c r="A7" s="3"/>
      <c r="B7" s="2"/>
      <c r="C7" s="2"/>
      <c r="D7" s="2"/>
      <c r="E7" s="2"/>
      <c r="F7" s="2"/>
      <c r="G7" s="2"/>
      <c r="H7" s="79"/>
      <c r="I7" s="2"/>
      <c r="J7" s="6"/>
      <c r="K7" s="6"/>
      <c r="L7" s="6"/>
      <c r="M7" s="6"/>
      <c r="N7" s="2"/>
      <c r="O7" s="4"/>
      <c r="P7" s="4"/>
      <c r="Q7" s="28"/>
    </row>
    <row r="8" spans="1:17" x14ac:dyDescent="0.35">
      <c r="A8" s="3"/>
      <c r="B8" s="2"/>
      <c r="C8" s="2"/>
      <c r="D8" s="2"/>
      <c r="E8" s="2"/>
      <c r="F8" s="2"/>
      <c r="G8" s="2"/>
      <c r="H8" s="79"/>
      <c r="I8" s="2"/>
      <c r="J8" s="6"/>
      <c r="K8" s="6"/>
      <c r="L8" s="6"/>
      <c r="M8" s="6"/>
      <c r="N8" s="2"/>
      <c r="O8" s="4"/>
      <c r="P8" s="4"/>
      <c r="Q8" s="28"/>
    </row>
    <row r="9" spans="1:17" x14ac:dyDescent="0.35">
      <c r="A9" s="3"/>
      <c r="B9" s="2"/>
      <c r="C9" s="2"/>
      <c r="D9" s="2"/>
      <c r="E9" s="2"/>
      <c r="F9" s="2"/>
      <c r="G9" s="2"/>
      <c r="H9" s="79"/>
      <c r="I9" s="2"/>
      <c r="J9" s="6"/>
      <c r="K9" s="6"/>
      <c r="L9" s="6"/>
      <c r="M9" s="6"/>
      <c r="N9" s="2"/>
      <c r="O9" s="4"/>
      <c r="P9" s="4"/>
      <c r="Q9" s="28"/>
    </row>
    <row r="10" spans="1:17" x14ac:dyDescent="0.35">
      <c r="A10" s="3"/>
      <c r="B10" s="2"/>
      <c r="C10" s="2"/>
      <c r="D10" s="2"/>
      <c r="E10" s="2"/>
      <c r="F10" s="2"/>
      <c r="G10" s="2"/>
      <c r="H10" s="79"/>
      <c r="I10" s="2"/>
      <c r="J10" s="6"/>
      <c r="K10" s="6"/>
      <c r="L10" s="6"/>
      <c r="M10" s="6"/>
      <c r="N10" s="2"/>
      <c r="O10" s="4"/>
      <c r="P10" s="4"/>
      <c r="Q10" s="28"/>
    </row>
    <row r="11" spans="1:17" x14ac:dyDescent="0.35">
      <c r="A11" s="3"/>
      <c r="B11" s="2"/>
      <c r="C11" s="2"/>
      <c r="D11" s="2"/>
      <c r="E11" s="2"/>
      <c r="F11" s="2"/>
      <c r="G11" s="2"/>
      <c r="H11" s="79"/>
      <c r="I11" s="2"/>
      <c r="J11" s="6"/>
      <c r="K11" s="6"/>
      <c r="L11" s="6"/>
      <c r="M11" s="6"/>
      <c r="N11" s="2"/>
      <c r="O11" s="4"/>
      <c r="P11" s="4"/>
      <c r="Q11" s="28"/>
    </row>
    <row r="12" spans="1:17" x14ac:dyDescent="0.35">
      <c r="A12" s="3"/>
      <c r="B12" s="2"/>
      <c r="C12" s="2"/>
      <c r="D12" s="2"/>
      <c r="E12" s="2"/>
      <c r="F12" s="2"/>
      <c r="G12" s="2"/>
      <c r="H12" s="79"/>
      <c r="I12" s="2"/>
      <c r="J12" s="6"/>
      <c r="K12" s="6"/>
      <c r="L12" s="6"/>
      <c r="M12" s="6"/>
      <c r="N12" s="2"/>
      <c r="O12" s="4"/>
      <c r="P12" s="4"/>
      <c r="Q12" s="28"/>
    </row>
    <row r="13" spans="1:17" ht="14" customHeight="1" x14ac:dyDescent="0.35">
      <c r="A13" s="3"/>
      <c r="B13" s="2"/>
      <c r="C13" s="2"/>
      <c r="D13" s="2"/>
      <c r="E13" s="2"/>
      <c r="F13" s="2"/>
      <c r="G13" s="2"/>
      <c r="H13" s="79"/>
      <c r="I13" s="2"/>
      <c r="J13" s="6"/>
      <c r="K13" s="6"/>
      <c r="L13" s="6"/>
      <c r="M13" s="6"/>
      <c r="N13" s="2"/>
      <c r="O13" s="4"/>
      <c r="P13" s="4"/>
      <c r="Q13" s="28"/>
    </row>
    <row r="14" spans="1:17" s="73" customFormat="1" x14ac:dyDescent="0.35">
      <c r="A14" s="80"/>
      <c r="B14" s="2"/>
      <c r="C14" s="74"/>
      <c r="D14" s="74"/>
      <c r="E14" s="74"/>
      <c r="F14" s="74"/>
      <c r="G14" s="74"/>
      <c r="H14" s="81"/>
      <c r="I14" s="2"/>
      <c r="J14" s="82"/>
      <c r="K14" s="82"/>
      <c r="L14" s="82"/>
      <c r="M14" s="82"/>
      <c r="N14" s="74"/>
      <c r="O14" s="93"/>
      <c r="P14" s="93"/>
      <c r="Q14" s="94"/>
    </row>
    <row r="15" spans="1:17" x14ac:dyDescent="0.35">
      <c r="A15" s="3"/>
      <c r="B15" s="2"/>
      <c r="C15" s="2"/>
      <c r="D15" s="2"/>
      <c r="E15" s="2"/>
      <c r="F15" s="2"/>
      <c r="G15" s="2"/>
      <c r="H15" s="79"/>
      <c r="I15" s="2"/>
      <c r="J15" s="6"/>
      <c r="K15" s="6"/>
      <c r="L15" s="6"/>
      <c r="M15" s="6"/>
      <c r="N15" s="74"/>
      <c r="O15" s="4"/>
      <c r="P15" s="4"/>
      <c r="Q15" s="28"/>
    </row>
    <row r="16" spans="1:17" x14ac:dyDescent="0.35">
      <c r="A16" s="3"/>
      <c r="B16" s="2"/>
      <c r="C16" s="2"/>
      <c r="D16" s="2"/>
      <c r="E16" s="2"/>
      <c r="F16" s="2"/>
      <c r="G16" s="2"/>
      <c r="H16" s="79"/>
      <c r="I16" s="2"/>
      <c r="J16" s="6"/>
      <c r="K16" s="6"/>
      <c r="L16" s="6"/>
      <c r="M16" s="6"/>
      <c r="N16" s="74"/>
      <c r="O16" s="4"/>
      <c r="P16" s="4"/>
      <c r="Q16" s="28"/>
    </row>
    <row r="17" spans="1:17" x14ac:dyDescent="0.35">
      <c r="A17" s="3"/>
      <c r="B17" s="2"/>
      <c r="C17" s="2"/>
      <c r="D17" s="2"/>
      <c r="E17" s="2"/>
      <c r="F17" s="2"/>
      <c r="G17" s="2"/>
      <c r="H17" s="79"/>
      <c r="I17" s="2"/>
      <c r="J17" s="6"/>
      <c r="K17" s="6"/>
      <c r="L17" s="6"/>
      <c r="M17" s="6"/>
      <c r="N17" s="74"/>
      <c r="O17" s="2"/>
      <c r="P17" s="2"/>
      <c r="Q17" s="28"/>
    </row>
    <row r="18" spans="1:17" x14ac:dyDescent="0.35">
      <c r="A18" s="3"/>
      <c r="B18" s="2"/>
      <c r="C18" s="2"/>
      <c r="D18" s="2"/>
      <c r="E18" s="2"/>
      <c r="F18" s="2"/>
      <c r="G18" s="2"/>
      <c r="H18" s="79"/>
      <c r="I18" s="2"/>
      <c r="J18" s="6"/>
      <c r="K18" s="6"/>
      <c r="L18" s="6"/>
      <c r="M18" s="6"/>
      <c r="N18" s="74"/>
      <c r="O18" s="2"/>
      <c r="P18" s="2"/>
      <c r="Q18" s="28"/>
    </row>
    <row r="19" spans="1:17" x14ac:dyDescent="0.35">
      <c r="A19" s="3"/>
      <c r="B19" s="2"/>
      <c r="C19" s="2"/>
      <c r="D19" s="2"/>
      <c r="E19" s="2"/>
      <c r="F19" s="2"/>
      <c r="G19" s="2"/>
      <c r="H19" s="79"/>
      <c r="I19" s="2"/>
      <c r="J19" s="6"/>
      <c r="K19" s="6"/>
      <c r="L19" s="6"/>
      <c r="M19" s="6"/>
      <c r="N19" s="74"/>
      <c r="O19" s="4"/>
      <c r="P19" s="4"/>
      <c r="Q19" s="28"/>
    </row>
    <row r="20" spans="1:17" x14ac:dyDescent="0.35">
      <c r="A20" s="3"/>
      <c r="B20" s="2"/>
      <c r="C20" s="2"/>
      <c r="D20" s="2"/>
      <c r="E20" s="2"/>
      <c r="F20" s="2"/>
      <c r="G20" s="2"/>
      <c r="H20" s="79"/>
      <c r="I20" s="2"/>
      <c r="J20" s="6"/>
      <c r="K20" s="6"/>
      <c r="L20" s="6"/>
      <c r="M20" s="6"/>
      <c r="N20" s="74"/>
      <c r="O20" s="4"/>
      <c r="P20" s="4"/>
      <c r="Q20" s="28"/>
    </row>
    <row r="21" spans="1:17" x14ac:dyDescent="0.35">
      <c r="A21" s="3"/>
      <c r="B21" s="2"/>
      <c r="C21" s="2"/>
      <c r="D21" s="2"/>
      <c r="E21" s="2"/>
      <c r="F21" s="2"/>
      <c r="G21" s="2"/>
      <c r="H21" s="79"/>
      <c r="I21" s="2"/>
      <c r="J21" s="6"/>
      <c r="K21" s="6"/>
      <c r="L21" s="6"/>
      <c r="M21" s="6"/>
      <c r="N21" s="2"/>
      <c r="O21" s="2"/>
      <c r="P21" s="2"/>
      <c r="Q21" s="28"/>
    </row>
    <row r="22" spans="1:17" x14ac:dyDescent="0.35">
      <c r="A22" s="3"/>
      <c r="B22" s="2"/>
      <c r="C22" s="2"/>
      <c r="D22" s="2"/>
      <c r="E22" s="2"/>
      <c r="F22" s="2"/>
      <c r="G22" s="2"/>
      <c r="H22" s="79"/>
      <c r="I22" s="2"/>
      <c r="J22" s="6"/>
      <c r="K22" s="6"/>
      <c r="L22" s="6"/>
      <c r="M22" s="6"/>
      <c r="N22" s="2"/>
      <c r="O22" s="2"/>
      <c r="P22" s="2"/>
      <c r="Q22" s="28"/>
    </row>
    <row r="23" spans="1:17" x14ac:dyDescent="0.35">
      <c r="A23" s="3"/>
      <c r="B23" s="2"/>
      <c r="C23" s="2"/>
      <c r="D23" s="2"/>
      <c r="E23" s="2"/>
      <c r="F23" s="2"/>
      <c r="G23" s="2"/>
      <c r="H23" s="79"/>
      <c r="I23" s="2"/>
      <c r="J23" s="6"/>
      <c r="K23" s="6"/>
      <c r="L23" s="6"/>
      <c r="M23" s="6"/>
      <c r="N23" s="2"/>
      <c r="O23" s="2"/>
      <c r="P23" s="2"/>
      <c r="Q23" s="28"/>
    </row>
    <row r="24" spans="1:17" x14ac:dyDescent="0.35">
      <c r="A24" s="3"/>
      <c r="B24" s="2"/>
      <c r="C24" s="2"/>
      <c r="D24" s="2"/>
      <c r="E24" s="2"/>
      <c r="F24" s="2"/>
      <c r="G24" s="2"/>
      <c r="H24" s="79"/>
      <c r="I24" s="2"/>
      <c r="J24" s="6"/>
      <c r="K24" s="6"/>
      <c r="L24" s="6"/>
      <c r="M24" s="6"/>
      <c r="N24" s="2"/>
      <c r="O24" s="2"/>
      <c r="P24" s="2"/>
      <c r="Q24" s="28"/>
    </row>
    <row r="25" spans="1:17" x14ac:dyDescent="0.35">
      <c r="A25" s="3"/>
      <c r="B25" s="2"/>
      <c r="C25" s="2"/>
      <c r="D25" s="2"/>
      <c r="E25" s="2"/>
      <c r="F25" s="2"/>
      <c r="G25" s="2"/>
      <c r="H25" s="79"/>
      <c r="I25" s="2"/>
      <c r="J25" s="6"/>
      <c r="K25" s="6"/>
      <c r="L25" s="6"/>
      <c r="M25" s="6"/>
      <c r="N25" s="2"/>
      <c r="O25" s="2"/>
      <c r="P25" s="2"/>
      <c r="Q25" s="28"/>
    </row>
    <row r="26" spans="1:17" x14ac:dyDescent="0.35">
      <c r="A26" s="3"/>
      <c r="B26" s="2"/>
      <c r="C26" s="2"/>
      <c r="D26" s="2"/>
      <c r="E26" s="2"/>
      <c r="F26" s="2"/>
      <c r="G26" s="2"/>
      <c r="H26" s="79"/>
      <c r="I26" s="2"/>
      <c r="J26" s="6"/>
      <c r="K26" s="6"/>
      <c r="L26" s="6"/>
      <c r="M26" s="6"/>
      <c r="N26" s="2"/>
      <c r="O26" s="2"/>
      <c r="P26" s="2"/>
      <c r="Q26" s="28"/>
    </row>
    <row r="27" spans="1:17" x14ac:dyDescent="0.35">
      <c r="A27" s="3"/>
      <c r="B27" s="2"/>
      <c r="C27" s="2"/>
      <c r="D27" s="2"/>
      <c r="E27" s="2"/>
      <c r="F27" s="2"/>
      <c r="G27" s="2"/>
      <c r="H27" s="79"/>
      <c r="I27" s="2"/>
      <c r="J27" s="6"/>
      <c r="K27" s="6"/>
      <c r="L27" s="6"/>
      <c r="M27" s="6"/>
      <c r="N27" s="2"/>
      <c r="O27" s="2"/>
      <c r="P27" s="2"/>
      <c r="Q27" s="28"/>
    </row>
    <row r="28" spans="1:17" x14ac:dyDescent="0.35">
      <c r="A28" s="3"/>
      <c r="B28" s="2"/>
      <c r="C28" s="2"/>
      <c r="D28" s="2"/>
      <c r="E28" s="2"/>
      <c r="F28" s="2"/>
      <c r="G28" s="2"/>
      <c r="H28" s="79"/>
      <c r="I28" s="2"/>
      <c r="J28" s="6"/>
      <c r="K28" s="6"/>
      <c r="L28" s="6"/>
      <c r="M28" s="6"/>
      <c r="N28" s="2"/>
      <c r="O28" s="2"/>
      <c r="P28" s="2"/>
      <c r="Q28" s="28"/>
    </row>
    <row r="29" spans="1:17" x14ac:dyDescent="0.35">
      <c r="A29" s="3"/>
      <c r="B29" s="2"/>
      <c r="C29" s="2"/>
      <c r="D29" s="2"/>
      <c r="E29" s="2"/>
      <c r="F29" s="2"/>
      <c r="G29" s="2"/>
      <c r="H29" s="79"/>
      <c r="I29" s="2"/>
      <c r="J29" s="6"/>
      <c r="K29" s="6"/>
      <c r="L29" s="6"/>
      <c r="M29" s="6"/>
      <c r="N29" s="2"/>
      <c r="O29" s="2"/>
      <c r="P29" s="2"/>
      <c r="Q29" s="28"/>
    </row>
    <row r="30" spans="1:17" x14ac:dyDescent="0.35">
      <c r="A30" s="3"/>
      <c r="B30" s="2"/>
      <c r="C30" s="2"/>
      <c r="D30" s="2"/>
      <c r="E30" s="2"/>
      <c r="F30" s="2"/>
      <c r="G30" s="2"/>
      <c r="H30" s="79"/>
      <c r="I30" s="2"/>
      <c r="J30" s="6"/>
      <c r="K30" s="6"/>
      <c r="L30" s="6"/>
      <c r="M30" s="6"/>
      <c r="N30" s="2"/>
      <c r="O30" s="2"/>
      <c r="P30" s="2"/>
      <c r="Q30" s="28"/>
    </row>
    <row r="31" spans="1:17" x14ac:dyDescent="0.35">
      <c r="A31" s="3"/>
      <c r="B31" s="2"/>
      <c r="C31" s="2"/>
      <c r="D31" s="2"/>
      <c r="E31" s="2"/>
      <c r="F31" s="2"/>
      <c r="G31" s="2"/>
      <c r="H31" s="79"/>
      <c r="I31" s="2"/>
      <c r="J31" s="6"/>
      <c r="K31" s="6"/>
      <c r="L31" s="6"/>
      <c r="M31" s="6"/>
      <c r="N31" s="2"/>
      <c r="O31" s="2"/>
      <c r="P31" s="2"/>
      <c r="Q31" s="28"/>
    </row>
    <row r="32" spans="1:17" x14ac:dyDescent="0.35">
      <c r="A32" s="3"/>
      <c r="B32" s="2"/>
      <c r="C32" s="2"/>
      <c r="D32" s="2"/>
      <c r="E32" s="2"/>
      <c r="F32" s="2"/>
      <c r="G32" s="2"/>
      <c r="H32" s="79"/>
      <c r="I32" s="2"/>
      <c r="J32" s="6"/>
      <c r="K32" s="6"/>
      <c r="L32" s="6"/>
      <c r="M32" s="6"/>
      <c r="N32" s="2"/>
      <c r="O32" s="2"/>
      <c r="P32" s="2"/>
      <c r="Q32" s="28"/>
    </row>
    <row r="33" spans="1:17" x14ac:dyDescent="0.35">
      <c r="A33" s="2"/>
      <c r="B33" s="2"/>
      <c r="C33" s="2"/>
      <c r="D33" s="2"/>
      <c r="E33" s="2"/>
      <c r="F33" s="2"/>
      <c r="G33" s="2"/>
      <c r="H33" s="79"/>
      <c r="I33" s="2"/>
      <c r="J33" s="6"/>
      <c r="K33" s="6"/>
      <c r="L33" s="6"/>
      <c r="M33" s="6"/>
      <c r="N33" s="2"/>
      <c r="O33" s="2"/>
      <c r="P33" s="2"/>
      <c r="Q33" s="28"/>
    </row>
    <row r="34" spans="1:17" ht="16" customHeight="1" x14ac:dyDescent="0.35">
      <c r="A34" s="2"/>
      <c r="B34" s="2"/>
      <c r="C34" s="2"/>
      <c r="D34" s="2"/>
      <c r="E34" s="85" t="s">
        <v>189</v>
      </c>
      <c r="F34" s="85" t="s">
        <v>190</v>
      </c>
      <c r="G34" s="95" t="s">
        <v>42</v>
      </c>
      <c r="H34" s="96" t="s">
        <v>191</v>
      </c>
      <c r="I34" s="97" t="s">
        <v>177</v>
      </c>
      <c r="J34" s="6"/>
      <c r="K34" s="6"/>
      <c r="L34" s="6"/>
      <c r="M34" s="6"/>
      <c r="N34" s="2"/>
      <c r="O34" s="2"/>
      <c r="P34" s="2"/>
      <c r="Q34" s="98" t="s">
        <v>42</v>
      </c>
    </row>
    <row r="35" spans="1:17" ht="16" customHeight="1" x14ac:dyDescent="0.35">
      <c r="A35" s="2"/>
      <c r="B35" s="2"/>
      <c r="C35" s="2"/>
      <c r="D35" s="2"/>
      <c r="E35" s="99">
        <f>E4</f>
        <v>0</v>
      </c>
      <c r="F35" s="99">
        <f>SUM(F4:F23)</f>
        <v>0</v>
      </c>
      <c r="G35" s="100">
        <f>Tabela_Fevereiro7[[#This Row],[Realizado]]-Tabela_Fevereiro7[[#This Row],[Previsto]]</f>
        <v>0</v>
      </c>
      <c r="H35" s="101" t="e">
        <f>Tabela_Fevereiro7[[#This Row],[Realizado]]/Tabela_Fevereiro7[[#This Row],[Previsto]]</f>
        <v>#DIV/0!</v>
      </c>
      <c r="I35" s="2" t="str">
        <f>IF(F35&gt;E35,"ESTOURADO",IF(F33&gt;=0.7,"ALERTA","OK"))</f>
        <v>OK</v>
      </c>
      <c r="J35" s="6"/>
      <c r="K35" s="6"/>
      <c r="L35" s="6"/>
      <c r="M35" s="6"/>
      <c r="N35" s="2"/>
      <c r="O35" s="2"/>
      <c r="P35" s="2"/>
      <c r="Q35" s="98">
        <f>SUM(Q4:Q33)</f>
        <v>0</v>
      </c>
    </row>
    <row r="37" spans="1:17" ht="18.5" x14ac:dyDescent="0.45">
      <c r="A37" s="156" t="s">
        <v>135</v>
      </c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62"/>
    </row>
    <row r="38" spans="1:17" x14ac:dyDescent="0.35">
      <c r="A38" s="7"/>
      <c r="B38" s="7"/>
      <c r="C38" s="7"/>
      <c r="D38" s="7"/>
      <c r="K38" s="7"/>
      <c r="L38" s="7"/>
      <c r="N38" s="7"/>
    </row>
    <row r="39" spans="1:17" x14ac:dyDescent="0.35">
      <c r="A39" s="25" t="s">
        <v>142</v>
      </c>
      <c r="B39" s="6"/>
      <c r="C39" s="6"/>
      <c r="D39" s="2">
        <f>SUM(E4:E33)</f>
        <v>0</v>
      </c>
      <c r="E39" s="6"/>
      <c r="F39" s="6">
        <f>D39/24</f>
        <v>0</v>
      </c>
      <c r="G39" s="6" t="s">
        <v>89</v>
      </c>
      <c r="K39" s="7"/>
      <c r="L39" s="7"/>
      <c r="N39" s="7"/>
    </row>
    <row r="40" spans="1:17" x14ac:dyDescent="0.35">
      <c r="A40" s="25" t="s">
        <v>192</v>
      </c>
      <c r="B40" s="6"/>
      <c r="C40" s="6"/>
      <c r="D40" s="2">
        <f>SUM(F4:F33)</f>
        <v>0</v>
      </c>
      <c r="E40" s="6"/>
      <c r="F40" s="6">
        <f>D40/24</f>
        <v>0</v>
      </c>
      <c r="G40" s="6" t="s">
        <v>89</v>
      </c>
      <c r="K40" s="7"/>
      <c r="L40" s="7"/>
      <c r="N40" s="7"/>
    </row>
    <row r="41" spans="1:17" x14ac:dyDescent="0.35">
      <c r="A41" s="25" t="s">
        <v>193</v>
      </c>
      <c r="B41" s="6"/>
      <c r="C41" s="6"/>
      <c r="D41" s="2">
        <f>G35</f>
        <v>0</v>
      </c>
      <c r="E41" s="6"/>
      <c r="F41" s="6">
        <f>D41/24</f>
        <v>0</v>
      </c>
      <c r="G41" s="6" t="s">
        <v>89</v>
      </c>
      <c r="K41" s="7"/>
      <c r="L41" s="7"/>
      <c r="N41" s="7"/>
    </row>
    <row r="42" spans="1:17" x14ac:dyDescent="0.35">
      <c r="A42" s="25"/>
      <c r="B42" s="6"/>
      <c r="C42" s="6"/>
      <c r="D42" s="2"/>
      <c r="E42" s="6"/>
      <c r="F42" s="6"/>
      <c r="G42" s="6"/>
      <c r="K42" s="7"/>
      <c r="L42" s="7"/>
      <c r="N42" s="7"/>
    </row>
    <row r="43" spans="1:17" x14ac:dyDescent="0.35">
      <c r="A43" s="25"/>
      <c r="B43" s="6"/>
      <c r="C43" s="6"/>
      <c r="D43" s="2"/>
      <c r="E43" s="6"/>
      <c r="F43" s="6"/>
      <c r="G43" s="6"/>
      <c r="K43" s="7"/>
      <c r="L43" s="7"/>
      <c r="N43" s="7"/>
    </row>
    <row r="44" spans="1:17" x14ac:dyDescent="0.35">
      <c r="A44" s="25"/>
      <c r="B44" s="6"/>
      <c r="C44" s="6"/>
      <c r="D44" s="2"/>
      <c r="E44" s="6"/>
      <c r="F44" s="6"/>
      <c r="G44" s="6"/>
      <c r="K44" s="7"/>
      <c r="L44" s="7"/>
      <c r="N44" s="7"/>
    </row>
    <row r="45" spans="1:17" x14ac:dyDescent="0.35">
      <c r="A45" s="25"/>
      <c r="B45" s="6"/>
      <c r="C45" s="6"/>
      <c r="D45" s="2"/>
      <c r="E45" s="6"/>
      <c r="F45" s="6"/>
      <c r="G45" s="6"/>
      <c r="K45" s="7"/>
      <c r="L45" s="7"/>
      <c r="N45" s="7"/>
    </row>
    <row r="46" spans="1:17" x14ac:dyDescent="0.35">
      <c r="A46" s="7"/>
      <c r="B46" s="7"/>
      <c r="C46" s="7"/>
      <c r="K46" s="7"/>
      <c r="L46" s="7"/>
      <c r="N46" s="7"/>
    </row>
    <row r="47" spans="1:17" x14ac:dyDescent="0.35">
      <c r="A47" s="26"/>
      <c r="B47" s="7"/>
      <c r="C47" s="7"/>
      <c r="K47" s="7"/>
      <c r="L47" s="7"/>
      <c r="N47" s="7"/>
    </row>
    <row r="51" spans="2:6" x14ac:dyDescent="0.35">
      <c r="B51" s="76"/>
      <c r="C51" s="76"/>
      <c r="D51" s="76"/>
      <c r="E51" s="77"/>
      <c r="F51" s="77"/>
    </row>
    <row r="52" spans="2:6" x14ac:dyDescent="0.35">
      <c r="B52" s="78" t="s">
        <v>173</v>
      </c>
      <c r="C52" s="76"/>
      <c r="D52" s="76"/>
      <c r="E52" s="77"/>
      <c r="F52" s="77"/>
    </row>
  </sheetData>
  <mergeCells count="2">
    <mergeCell ref="A1:P1"/>
    <mergeCell ref="A37:P37"/>
  </mergeCells>
  <conditionalFormatting sqref="G4:I35">
    <cfRule type="expression" dxfId="0" priority="1">
      <formula>G4&gt;4</formula>
    </cfRule>
  </conditionalFormatting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1F67-AD28-4A23-8446-9462FCD95A80}">
  <dimension ref="A1:R24"/>
  <sheetViews>
    <sheetView topLeftCell="A22" zoomScale="80" zoomScaleNormal="80" workbookViewId="0">
      <selection activeCell="C25" sqref="C25"/>
    </sheetView>
  </sheetViews>
  <sheetFormatPr defaultRowHeight="14.5" x14ac:dyDescent="0.35"/>
  <cols>
    <col min="1" max="1" width="22" style="37" customWidth="1"/>
    <col min="2" max="2" width="22" style="38" customWidth="1"/>
    <col min="3" max="4" width="22" style="37" customWidth="1"/>
    <col min="5" max="5" width="22" style="38" customWidth="1"/>
    <col min="6" max="8" width="22" style="37" customWidth="1"/>
    <col min="9" max="16384" width="8.7265625" style="37"/>
  </cols>
  <sheetData>
    <row r="1" spans="1:18" ht="14.5" customHeight="1" x14ac:dyDescent="0.35">
      <c r="A1" s="158" t="s">
        <v>270</v>
      </c>
      <c r="B1" s="159"/>
      <c r="C1" s="159"/>
      <c r="D1" s="159"/>
      <c r="E1" s="159"/>
      <c r="F1" s="159"/>
      <c r="G1" s="159"/>
      <c r="H1" s="159"/>
      <c r="I1" s="41"/>
      <c r="J1" s="41"/>
      <c r="K1" s="41"/>
      <c r="L1" s="41"/>
      <c r="M1" s="41"/>
      <c r="N1" s="41"/>
      <c r="O1" s="41"/>
      <c r="P1" s="41"/>
      <c r="Q1" s="41"/>
      <c r="R1" s="41"/>
    </row>
    <row r="2" spans="1:18" x14ac:dyDescent="0.35">
      <c r="A2" s="159"/>
      <c r="B2" s="159"/>
      <c r="C2" s="159"/>
      <c r="D2" s="159"/>
      <c r="E2" s="159"/>
      <c r="F2" s="159"/>
      <c r="G2" s="159"/>
      <c r="H2" s="159"/>
      <c r="I2" s="41"/>
      <c r="J2" s="41"/>
      <c r="K2" s="41"/>
      <c r="L2" s="41"/>
      <c r="M2" s="41"/>
      <c r="N2" s="41"/>
      <c r="O2" s="41"/>
      <c r="P2" s="41"/>
      <c r="Q2" s="41"/>
      <c r="R2" s="41"/>
    </row>
    <row r="5" spans="1:18" x14ac:dyDescent="0.35">
      <c r="A5" s="60"/>
      <c r="B5" s="61"/>
      <c r="D5" s="90"/>
      <c r="E5" s="91"/>
    </row>
    <row r="6" spans="1:18" x14ac:dyDescent="0.35">
      <c r="A6" s="60"/>
      <c r="B6" s="61"/>
      <c r="D6" s="55"/>
      <c r="E6" s="61"/>
    </row>
    <row r="7" spans="1:18" x14ac:dyDescent="0.35">
      <c r="A7" s="60"/>
      <c r="B7" s="61"/>
      <c r="D7" s="55"/>
      <c r="E7" s="61"/>
    </row>
    <row r="8" spans="1:18" x14ac:dyDescent="0.35">
      <c r="A8" s="60"/>
      <c r="B8" s="61"/>
      <c r="D8" s="55"/>
      <c r="E8" s="61"/>
    </row>
    <row r="9" spans="1:18" x14ac:dyDescent="0.35">
      <c r="A9" s="60"/>
      <c r="B9" s="61"/>
      <c r="D9" s="55"/>
      <c r="E9" s="61"/>
    </row>
    <row r="10" spans="1:18" x14ac:dyDescent="0.35">
      <c r="A10" s="60"/>
      <c r="B10" s="61"/>
    </row>
    <row r="11" spans="1:18" x14ac:dyDescent="0.35">
      <c r="A11" s="60"/>
      <c r="B11" s="61"/>
    </row>
    <row r="12" spans="1:18" x14ac:dyDescent="0.35">
      <c r="D12" s="90"/>
      <c r="E12" s="91"/>
    </row>
    <row r="13" spans="1:18" x14ac:dyDescent="0.35">
      <c r="D13" s="55"/>
      <c r="E13" s="61"/>
    </row>
    <row r="14" spans="1:18" x14ac:dyDescent="0.35">
      <c r="D14" s="55"/>
      <c r="E14" s="61"/>
    </row>
    <row r="15" spans="1:18" x14ac:dyDescent="0.35">
      <c r="A15" s="90"/>
      <c r="B15" s="91"/>
      <c r="D15" s="55"/>
      <c r="E15" s="61"/>
    </row>
    <row r="16" spans="1:18" x14ac:dyDescent="0.35">
      <c r="A16" s="55"/>
      <c r="B16" s="61"/>
      <c r="D16" s="55"/>
      <c r="E16" s="61"/>
    </row>
    <row r="17" spans="1:4" s="38" customFormat="1" x14ac:dyDescent="0.35">
      <c r="A17" s="55"/>
      <c r="B17" s="61"/>
      <c r="C17" s="37"/>
      <c r="D17" s="37"/>
    </row>
    <row r="18" spans="1:4" s="38" customFormat="1" x14ac:dyDescent="0.35">
      <c r="A18" s="55"/>
      <c r="B18" s="61"/>
      <c r="C18" s="37"/>
      <c r="D18" s="37"/>
    </row>
    <row r="19" spans="1:4" s="38" customFormat="1" x14ac:dyDescent="0.35">
      <c r="A19" s="55"/>
      <c r="B19" s="61"/>
      <c r="C19" s="37"/>
      <c r="D19" s="37"/>
    </row>
    <row r="24" spans="1:4" s="38" customFormat="1" x14ac:dyDescent="0.35">
      <c r="A24" s="37"/>
      <c r="D24" s="37"/>
    </row>
  </sheetData>
  <mergeCells count="1">
    <mergeCell ref="A1:H2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EDD17-415E-490F-BD06-2036E6BC82F7}">
  <dimension ref="A1:R24"/>
  <sheetViews>
    <sheetView topLeftCell="A19" workbookViewId="0">
      <selection activeCell="C18" sqref="C18"/>
    </sheetView>
  </sheetViews>
  <sheetFormatPr defaultRowHeight="14.5" x14ac:dyDescent="0.35"/>
  <cols>
    <col min="1" max="1" width="22" style="37" customWidth="1"/>
    <col min="2" max="2" width="22" style="38" customWidth="1"/>
    <col min="3" max="4" width="22" style="37" customWidth="1"/>
    <col min="5" max="5" width="22" style="38" customWidth="1"/>
    <col min="6" max="8" width="22" style="37" customWidth="1"/>
    <col min="9" max="16384" width="8.7265625" style="37"/>
  </cols>
  <sheetData>
    <row r="1" spans="1:18" ht="14.5" customHeight="1" x14ac:dyDescent="0.35">
      <c r="A1" s="158" t="s">
        <v>18</v>
      </c>
      <c r="B1" s="159"/>
      <c r="C1" s="159"/>
      <c r="D1" s="159"/>
      <c r="E1" s="159"/>
      <c r="F1" s="159"/>
      <c r="G1" s="159"/>
      <c r="H1" s="159"/>
      <c r="I1" s="41"/>
      <c r="J1" s="41"/>
      <c r="K1" s="41"/>
      <c r="L1" s="41"/>
      <c r="M1" s="41"/>
      <c r="N1" s="41"/>
      <c r="O1" s="41"/>
      <c r="P1" s="41"/>
      <c r="Q1" s="41"/>
      <c r="R1" s="41"/>
    </row>
    <row r="2" spans="1:18" x14ac:dyDescent="0.35">
      <c r="A2" s="159"/>
      <c r="B2" s="159"/>
      <c r="C2" s="159"/>
      <c r="D2" s="159"/>
      <c r="E2" s="159"/>
      <c r="F2" s="159"/>
      <c r="G2" s="159"/>
      <c r="H2" s="159"/>
      <c r="I2" s="41"/>
      <c r="J2" s="41"/>
      <c r="K2" s="41"/>
      <c r="L2" s="41"/>
      <c r="M2" s="41"/>
      <c r="N2" s="41"/>
      <c r="O2" s="41"/>
      <c r="P2" s="41"/>
      <c r="Q2" s="41"/>
      <c r="R2" s="41"/>
    </row>
    <row r="5" spans="1:18" x14ac:dyDescent="0.35">
      <c r="A5" s="40" t="s">
        <v>4</v>
      </c>
      <c r="B5" s="52">
        <f>SUM('Fevereiro '!D29+Março!D41+Abril!D39+'Maio '!D42)</f>
        <v>67.555555555555571</v>
      </c>
      <c r="D5" s="53" t="s">
        <v>19</v>
      </c>
      <c r="E5" s="54" t="s">
        <v>20</v>
      </c>
    </row>
    <row r="6" spans="1:18" x14ac:dyDescent="0.35">
      <c r="A6" s="40" t="s">
        <v>5</v>
      </c>
      <c r="B6" s="52">
        <f>SUM('Fevereiro '!D30+Março!D42+Abril!D40+'Maio '!D43)</f>
        <v>45.080555555555556</v>
      </c>
      <c r="D6" s="46" t="s">
        <v>149</v>
      </c>
      <c r="E6" s="52">
        <f>B8</f>
        <v>8.3868055555555561</v>
      </c>
    </row>
    <row r="7" spans="1:18" x14ac:dyDescent="0.35">
      <c r="A7" s="40" t="s">
        <v>6</v>
      </c>
      <c r="B7" s="52">
        <f>SUM('Fevereiro '!D31+Março!D43+Abril!D41+'Maio '!D44)</f>
        <v>22.475000000000001</v>
      </c>
      <c r="D7" s="46" t="s">
        <v>151</v>
      </c>
      <c r="E7" s="52">
        <f>B9</f>
        <v>9.7534722222222232</v>
      </c>
    </row>
    <row r="8" spans="1:18" x14ac:dyDescent="0.35">
      <c r="A8" s="40" t="s">
        <v>150</v>
      </c>
      <c r="B8" s="52">
        <f>SUM('Fevereiro '!D32+Março!D44+Abril!D42+'Maio '!D45)</f>
        <v>8.3868055555555561</v>
      </c>
      <c r="D8" s="46" t="s">
        <v>21</v>
      </c>
      <c r="E8" s="52">
        <f>B10</f>
        <v>0.32847222222222217</v>
      </c>
    </row>
    <row r="9" spans="1:18" x14ac:dyDescent="0.35">
      <c r="A9" s="40" t="s">
        <v>148</v>
      </c>
      <c r="B9" s="52">
        <f>SUM('Fevereiro '!D33+Março!D45+Abril!D43+'Maio '!D46)</f>
        <v>9.7534722222222232</v>
      </c>
      <c r="D9" s="46" t="s">
        <v>111</v>
      </c>
      <c r="E9" s="52">
        <f>B11</f>
        <v>4.0201388888888889</v>
      </c>
    </row>
    <row r="10" spans="1:18" x14ac:dyDescent="0.35">
      <c r="A10" s="40" t="s">
        <v>7</v>
      </c>
      <c r="B10" s="52">
        <f>SUM('Fevereiro '!D34+Março!D46+Abril!D44+'Maio '!D47)</f>
        <v>0.32847222222222217</v>
      </c>
    </row>
    <row r="11" spans="1:18" x14ac:dyDescent="0.35">
      <c r="A11" s="40" t="s">
        <v>8</v>
      </c>
      <c r="B11" s="52">
        <f>SUM('Fevereiro '!D35+Março!D47+Abril!D45+'Maio '!D48)</f>
        <v>4.0201388888888889</v>
      </c>
    </row>
    <row r="12" spans="1:18" x14ac:dyDescent="0.35">
      <c r="D12" s="53" t="s">
        <v>132</v>
      </c>
      <c r="E12" s="54" t="s">
        <v>156</v>
      </c>
    </row>
    <row r="13" spans="1:18" x14ac:dyDescent="0.35">
      <c r="D13" s="46" t="s">
        <v>116</v>
      </c>
      <c r="E13" s="52">
        <f>SUM('Fevereiro '!D30)</f>
        <v>4.8451388888888891</v>
      </c>
    </row>
    <row r="14" spans="1:18" x14ac:dyDescent="0.35">
      <c r="D14" s="46" t="s">
        <v>117</v>
      </c>
      <c r="E14" s="52">
        <f>SUM(Março!D42)</f>
        <v>11.177083333333334</v>
      </c>
    </row>
    <row r="15" spans="1:18" x14ac:dyDescent="0.35">
      <c r="A15" s="53" t="s">
        <v>22</v>
      </c>
      <c r="B15" s="54" t="s">
        <v>20</v>
      </c>
      <c r="D15" s="46" t="s">
        <v>118</v>
      </c>
      <c r="E15" s="52">
        <f>SUM(Abril!D40)</f>
        <v>18.584027777777777</v>
      </c>
    </row>
    <row r="16" spans="1:18" x14ac:dyDescent="0.35">
      <c r="A16" s="46" t="s">
        <v>149</v>
      </c>
      <c r="B16" s="52">
        <f>B8</f>
        <v>8.3868055555555561</v>
      </c>
      <c r="D16" s="46" t="s">
        <v>119</v>
      </c>
      <c r="E16" s="52">
        <f>SUM('Maio '!D43)</f>
        <v>10.474305555555553</v>
      </c>
    </row>
    <row r="17" spans="1:4" s="38" customFormat="1" x14ac:dyDescent="0.35">
      <c r="A17" s="46" t="s">
        <v>151</v>
      </c>
      <c r="B17" s="52">
        <f>B9</f>
        <v>9.7534722222222232</v>
      </c>
      <c r="C17" s="37"/>
      <c r="D17" s="37"/>
    </row>
    <row r="18" spans="1:4" s="38" customFormat="1" x14ac:dyDescent="0.35">
      <c r="A18" s="46" t="s">
        <v>21</v>
      </c>
      <c r="B18" s="52">
        <f>B10</f>
        <v>0.32847222222222217</v>
      </c>
      <c r="C18" s="37"/>
      <c r="D18" s="37"/>
    </row>
    <row r="19" spans="1:4" s="38" customFormat="1" x14ac:dyDescent="0.35">
      <c r="A19" s="46" t="s">
        <v>8</v>
      </c>
      <c r="B19" s="52">
        <f>B11</f>
        <v>4.0201388888888889</v>
      </c>
      <c r="C19" s="37"/>
      <c r="D19" s="37"/>
    </row>
    <row r="24" spans="1:4" s="38" customFormat="1" x14ac:dyDescent="0.35">
      <c r="A24" s="37"/>
      <c r="D24" s="37"/>
    </row>
  </sheetData>
  <mergeCells count="1">
    <mergeCell ref="A1:H2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86DA-2C8F-4D1D-BAD4-D2C7BF6DE30A}">
  <dimension ref="A1:CO22"/>
  <sheetViews>
    <sheetView zoomScale="90" zoomScaleNormal="90" workbookViewId="0">
      <selection activeCell="D15" sqref="D15"/>
    </sheetView>
  </sheetViews>
  <sheetFormatPr defaultRowHeight="14.5" x14ac:dyDescent="0.35"/>
  <cols>
    <col min="1" max="1" width="27.90625" style="37" customWidth="1"/>
    <col min="2" max="4" width="30" style="38" customWidth="1"/>
    <col min="5" max="5" width="31.90625" style="38" customWidth="1"/>
    <col min="6" max="7" width="30" style="37" customWidth="1"/>
    <col min="8" max="8" width="27" style="37" customWidth="1"/>
    <col min="9" max="9" width="20.08984375" style="37" customWidth="1"/>
    <col min="10" max="10" width="21.08984375" style="37" customWidth="1"/>
    <col min="11" max="11" width="17.81640625" style="37" customWidth="1"/>
    <col min="12" max="16384" width="8.7265625" style="37"/>
  </cols>
  <sheetData>
    <row r="1" spans="1:93" ht="14.5" customHeight="1" x14ac:dyDescent="0.35">
      <c r="A1" s="150" t="s">
        <v>178</v>
      </c>
      <c r="B1" s="151"/>
      <c r="C1" s="151"/>
      <c r="D1" s="151"/>
      <c r="E1" s="151"/>
      <c r="F1" s="151"/>
      <c r="G1" s="151"/>
      <c r="H1" s="151"/>
      <c r="I1" s="41"/>
      <c r="J1" s="41"/>
      <c r="K1" s="41"/>
    </row>
    <row r="2" spans="1:93" x14ac:dyDescent="0.35">
      <c r="A2" s="151"/>
      <c r="B2" s="151"/>
      <c r="C2" s="151"/>
      <c r="D2" s="151"/>
      <c r="E2" s="151"/>
      <c r="F2" s="151"/>
      <c r="G2" s="151"/>
      <c r="H2" s="151"/>
      <c r="I2" s="41"/>
      <c r="J2" s="41"/>
      <c r="K2" s="41"/>
    </row>
    <row r="3" spans="1:93" x14ac:dyDescent="0.35">
      <c r="A3" s="83"/>
      <c r="B3" s="84"/>
      <c r="C3" s="84"/>
      <c r="D3" s="84"/>
      <c r="E3" s="84"/>
      <c r="F3" s="83"/>
      <c r="G3" s="83"/>
      <c r="H3" s="83"/>
    </row>
    <row r="4" spans="1:93" s="46" customFormat="1" x14ac:dyDescent="0.35">
      <c r="A4" s="53" t="s">
        <v>258</v>
      </c>
      <c r="B4" s="54" t="s">
        <v>20</v>
      </c>
      <c r="C4" s="53" t="s">
        <v>179</v>
      </c>
      <c r="D4" s="53"/>
      <c r="E4" s="53" t="s">
        <v>149</v>
      </c>
      <c r="F4" s="48" t="s">
        <v>20</v>
      </c>
      <c r="G4" s="48" t="s">
        <v>179</v>
      </c>
      <c r="H4" s="48"/>
      <c r="I4" s="53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5"/>
      <c r="BL4" s="55"/>
      <c r="BM4" s="55"/>
      <c r="BN4" s="55"/>
      <c r="BO4" s="55"/>
      <c r="BP4" s="55"/>
      <c r="BQ4" s="55"/>
      <c r="BR4" s="55"/>
      <c r="BS4" s="55"/>
      <c r="BT4" s="55"/>
      <c r="BU4" s="55"/>
      <c r="BV4" s="55"/>
      <c r="BW4" s="55"/>
      <c r="BX4" s="55"/>
      <c r="BY4" s="55"/>
      <c r="BZ4" s="55"/>
      <c r="CA4" s="55"/>
      <c r="CB4" s="55"/>
      <c r="CC4" s="55"/>
      <c r="CD4" s="55"/>
      <c r="CE4" s="55"/>
      <c r="CF4" s="55"/>
      <c r="CG4" s="55"/>
      <c r="CH4" s="55"/>
      <c r="CI4" s="55"/>
      <c r="CJ4" s="55"/>
      <c r="CK4" s="55"/>
      <c r="CL4" s="55"/>
      <c r="CM4" s="55"/>
      <c r="CN4" s="55"/>
      <c r="CO4" s="55"/>
    </row>
    <row r="5" spans="1:93" s="86" customFormat="1" x14ac:dyDescent="0.35">
      <c r="A5" s="53" t="s">
        <v>260</v>
      </c>
      <c r="B5" s="52">
        <f>SUM('Fevereiro '!I22+Abril!I32+'Maio '!I7+'Maio '!I8+'Maio '!I9+'Maio '!I10+'Maio '!I26)</f>
        <v>1.5868055555555554</v>
      </c>
      <c r="C5" s="85">
        <f>B5/10</f>
        <v>0.15868055555555555</v>
      </c>
      <c r="D5" s="85"/>
      <c r="E5" s="53" t="s">
        <v>263</v>
      </c>
      <c r="F5" s="52">
        <v>7.5048611111111114</v>
      </c>
      <c r="G5" s="54">
        <f>F5/10</f>
        <v>0.75048611111111119</v>
      </c>
      <c r="H5" s="54"/>
      <c r="I5" s="87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</row>
    <row r="6" spans="1:93" s="46" customFormat="1" x14ac:dyDescent="0.35">
      <c r="A6" s="53" t="s">
        <v>3</v>
      </c>
      <c r="B6" s="52">
        <f>SUM('Maio '!I16)</f>
        <v>0.16666666666666666</v>
      </c>
      <c r="C6" s="85">
        <f>B6/10</f>
        <v>1.6666666666666666E-2</v>
      </c>
      <c r="D6" s="85"/>
      <c r="E6" s="88" t="s">
        <v>261</v>
      </c>
      <c r="F6" s="85">
        <f>DASHBOARD!B11</f>
        <v>4.0201388888888889</v>
      </c>
      <c r="G6" s="54">
        <f>F6/10</f>
        <v>0.40201388888888889</v>
      </c>
      <c r="H6" s="54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5"/>
      <c r="BY6" s="55"/>
      <c r="BZ6" s="55"/>
      <c r="CA6" s="55"/>
      <c r="CB6" s="55"/>
      <c r="CC6" s="55"/>
      <c r="CD6" s="55"/>
      <c r="CE6" s="55"/>
      <c r="CF6" s="55"/>
      <c r="CG6" s="55"/>
      <c r="CH6" s="55"/>
      <c r="CI6" s="55"/>
      <c r="CJ6" s="55"/>
      <c r="CK6" s="55"/>
      <c r="CL6" s="55"/>
      <c r="CM6" s="55"/>
      <c r="CN6" s="55"/>
      <c r="CO6" s="55"/>
    </row>
    <row r="7" spans="1:93" x14ac:dyDescent="0.35">
      <c r="A7" s="53" t="s">
        <v>259</v>
      </c>
      <c r="B7" s="52">
        <f>SUM(Março!I37)</f>
        <v>8</v>
      </c>
      <c r="C7" s="85">
        <f>B7/10</f>
        <v>0.8</v>
      </c>
      <c r="D7" s="85"/>
      <c r="E7" s="88" t="s">
        <v>21</v>
      </c>
      <c r="F7" s="85">
        <f>DASHBOARD!B10</f>
        <v>0.32847222222222217</v>
      </c>
      <c r="G7" s="54">
        <f>F7/10</f>
        <v>3.2847222222222215E-2</v>
      </c>
      <c r="H7" s="41"/>
      <c r="I7" s="41"/>
      <c r="J7" s="41"/>
      <c r="K7" s="41"/>
    </row>
    <row r="8" spans="1:93" s="41" customFormat="1" x14ac:dyDescent="0.35">
      <c r="B8" s="85"/>
      <c r="C8" s="85"/>
      <c r="D8" s="85"/>
      <c r="E8" s="144" t="s">
        <v>259</v>
      </c>
      <c r="F8" s="98">
        <f>'Fevereiro '!H7+Março!H22+Abril!H26+'Fevereiro '!H6</f>
        <v>0.88194444444444453</v>
      </c>
      <c r="G8" s="54">
        <f>F8/10</f>
        <v>8.819444444444445E-2</v>
      </c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</row>
    <row r="9" spans="1:93" x14ac:dyDescent="0.35">
      <c r="K9" s="89"/>
    </row>
    <row r="10" spans="1:93" x14ac:dyDescent="0.35">
      <c r="I10" s="55"/>
      <c r="J10" s="90"/>
      <c r="K10" s="91"/>
    </row>
    <row r="11" spans="1:93" x14ac:dyDescent="0.35">
      <c r="H11" s="60"/>
      <c r="I11" s="61"/>
      <c r="J11" s="55"/>
      <c r="K11" s="61"/>
    </row>
    <row r="12" spans="1:93" ht="18.5" x14ac:dyDescent="0.45">
      <c r="A12" s="39"/>
      <c r="J12" s="55"/>
      <c r="K12" s="61"/>
    </row>
    <row r="15" spans="1:93" x14ac:dyDescent="0.35">
      <c r="K15" s="89"/>
    </row>
    <row r="16" spans="1:93" x14ac:dyDescent="0.35">
      <c r="H16" s="83"/>
      <c r="I16" s="61"/>
      <c r="J16" s="42"/>
      <c r="K16" s="89"/>
    </row>
    <row r="21" spans="8:12" x14ac:dyDescent="0.35">
      <c r="K21" s="60"/>
      <c r="L21" s="61"/>
    </row>
    <row r="22" spans="8:12" x14ac:dyDescent="0.35">
      <c r="H22" s="55"/>
      <c r="I22" s="61"/>
    </row>
  </sheetData>
  <mergeCells count="1">
    <mergeCell ref="A1:H2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A85AB-FFA7-4EE5-9794-FB7245024FA6}">
  <dimension ref="A1:U12"/>
  <sheetViews>
    <sheetView workbookViewId="0">
      <selection activeCell="G12" sqref="G12"/>
    </sheetView>
  </sheetViews>
  <sheetFormatPr defaultRowHeight="14.5" x14ac:dyDescent="0.35"/>
  <cols>
    <col min="1" max="1" width="30" style="37" customWidth="1"/>
    <col min="2" max="3" width="30" style="38" customWidth="1"/>
    <col min="4" max="6" width="30" style="37" customWidth="1"/>
    <col min="7" max="16384" width="8.7265625" style="37"/>
  </cols>
  <sheetData>
    <row r="1" spans="1:21" x14ac:dyDescent="0.35">
      <c r="A1" s="160" t="s">
        <v>136</v>
      </c>
      <c r="B1" s="161"/>
      <c r="C1" s="161"/>
      <c r="D1" s="161"/>
      <c r="E1" s="161"/>
      <c r="F1" s="161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</row>
    <row r="2" spans="1:21" x14ac:dyDescent="0.35">
      <c r="A2" s="161"/>
      <c r="B2" s="161"/>
      <c r="C2" s="161"/>
      <c r="D2" s="161"/>
      <c r="E2" s="161"/>
      <c r="F2" s="161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</row>
    <row r="4" spans="1:21" s="49" customFormat="1" x14ac:dyDescent="0.35">
      <c r="A4" s="50" t="s">
        <v>115</v>
      </c>
      <c r="B4" s="51" t="s">
        <v>5</v>
      </c>
      <c r="C4" s="51" t="s">
        <v>6</v>
      </c>
    </row>
    <row r="5" spans="1:21" x14ac:dyDescent="0.35">
      <c r="A5" s="43" t="s">
        <v>116</v>
      </c>
      <c r="B5" s="44">
        <f>SUM('Fevereiro '!D30)</f>
        <v>4.8451388888888891</v>
      </c>
      <c r="C5" s="44">
        <f>SUM('Fevereiro '!D31)</f>
        <v>1.8701388888888888</v>
      </c>
    </row>
    <row r="6" spans="1:21" x14ac:dyDescent="0.35">
      <c r="A6" s="43" t="s">
        <v>117</v>
      </c>
      <c r="B6" s="44">
        <f>SUM(Março!D42)</f>
        <v>11.177083333333334</v>
      </c>
      <c r="C6" s="44">
        <f>SUM(Março!D43)</f>
        <v>11.118055555555555</v>
      </c>
    </row>
    <row r="7" spans="1:21" x14ac:dyDescent="0.35">
      <c r="A7" s="43" t="s">
        <v>118</v>
      </c>
      <c r="B7" s="44">
        <f>SUM(Abril!D40)</f>
        <v>18.584027777777777</v>
      </c>
      <c r="C7" s="44">
        <f>SUM(Abril!D41)</f>
        <v>6.9888888888888898</v>
      </c>
    </row>
    <row r="8" spans="1:21" x14ac:dyDescent="0.35">
      <c r="A8" s="43" t="s">
        <v>119</v>
      </c>
      <c r="B8" s="44">
        <f>SUM('Maio '!D43)</f>
        <v>10.474305555555553</v>
      </c>
      <c r="C8" s="44">
        <f>SUM('Maio '!D44)</f>
        <v>2.4979166666666668</v>
      </c>
    </row>
    <row r="12" spans="1:21" ht="18.5" x14ac:dyDescent="0.45">
      <c r="A12" s="39"/>
    </row>
  </sheetData>
  <mergeCells count="1">
    <mergeCell ref="A1:F2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B3B63-0EB9-4114-A714-D4B3792C2472}">
  <dimension ref="A1:CN22"/>
  <sheetViews>
    <sheetView topLeftCell="A24" zoomScale="95" workbookViewId="0">
      <selection activeCell="I25" sqref="I24:I25"/>
    </sheetView>
  </sheetViews>
  <sheetFormatPr defaultRowHeight="14.5" x14ac:dyDescent="0.35"/>
  <cols>
    <col min="1" max="1" width="30" style="37" customWidth="1"/>
    <col min="2" max="4" width="30" style="38" customWidth="1"/>
    <col min="5" max="6" width="30" style="37" customWidth="1"/>
    <col min="7" max="7" width="27" style="37" customWidth="1"/>
    <col min="8" max="8" width="11.54296875" style="37" customWidth="1"/>
    <col min="9" max="9" width="8.7265625" style="37"/>
    <col min="10" max="10" width="17.81640625" style="37" customWidth="1"/>
    <col min="11" max="16384" width="8.7265625" style="37"/>
  </cols>
  <sheetData>
    <row r="1" spans="1:92" ht="14.5" customHeight="1" x14ac:dyDescent="0.35">
      <c r="A1" s="150" t="s">
        <v>137</v>
      </c>
      <c r="B1" s="162"/>
      <c r="C1" s="162"/>
      <c r="D1" s="162"/>
      <c r="E1" s="162"/>
      <c r="F1" s="162"/>
      <c r="G1" s="162"/>
      <c r="H1" s="41"/>
      <c r="I1" s="41"/>
      <c r="J1" s="41"/>
    </row>
    <row r="2" spans="1:92" x14ac:dyDescent="0.35">
      <c r="A2" s="162"/>
      <c r="B2" s="162"/>
      <c r="C2" s="162"/>
      <c r="D2" s="162"/>
      <c r="E2" s="162"/>
      <c r="F2" s="162"/>
      <c r="G2" s="162"/>
      <c r="H2" s="41"/>
      <c r="I2" s="41"/>
      <c r="J2" s="41"/>
    </row>
    <row r="4" spans="1:92" s="46" customFormat="1" x14ac:dyDescent="0.35">
      <c r="A4" s="47" t="s">
        <v>115</v>
      </c>
      <c r="B4" s="48" t="s">
        <v>140</v>
      </c>
      <c r="C4" s="48" t="s">
        <v>141</v>
      </c>
      <c r="D4" s="48" t="s">
        <v>139</v>
      </c>
      <c r="E4" s="48" t="s">
        <v>143</v>
      </c>
      <c r="F4" s="48" t="s">
        <v>142</v>
      </c>
      <c r="G4" s="48" t="s">
        <v>144</v>
      </c>
      <c r="H4" s="53" t="s">
        <v>157</v>
      </c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5"/>
      <c r="BL4" s="55"/>
      <c r="BM4" s="55"/>
      <c r="BN4" s="55"/>
      <c r="BO4" s="55"/>
      <c r="BP4" s="55"/>
      <c r="BQ4" s="55"/>
      <c r="BR4" s="55"/>
      <c r="BS4" s="55"/>
      <c r="BT4" s="55"/>
      <c r="BU4" s="55"/>
      <c r="BV4" s="55"/>
      <c r="BW4" s="55"/>
      <c r="BX4" s="55"/>
      <c r="BY4" s="55"/>
      <c r="BZ4" s="55"/>
      <c r="CA4" s="55"/>
      <c r="CB4" s="55"/>
      <c r="CC4" s="55"/>
      <c r="CD4" s="55"/>
      <c r="CE4" s="55"/>
      <c r="CF4" s="55"/>
      <c r="CG4" s="55"/>
      <c r="CH4" s="55"/>
      <c r="CI4" s="55"/>
      <c r="CJ4" s="55"/>
      <c r="CK4" s="55"/>
      <c r="CL4" s="55"/>
      <c r="CM4" s="55"/>
      <c r="CN4" s="55"/>
    </row>
    <row r="5" spans="1:92" s="43" customFormat="1" x14ac:dyDescent="0.35">
      <c r="A5" s="43" t="s">
        <v>138</v>
      </c>
      <c r="B5" s="45">
        <v>46062</v>
      </c>
      <c r="C5" s="45">
        <v>46094</v>
      </c>
      <c r="D5" s="45">
        <v>46166</v>
      </c>
      <c r="E5" s="43">
        <f>SUM(D5-B5)</f>
        <v>104</v>
      </c>
      <c r="F5" s="43">
        <f>SUM(C5-B5)</f>
        <v>32</v>
      </c>
      <c r="G5" s="43">
        <f>SUM(E5-F5)</f>
        <v>72</v>
      </c>
      <c r="H5" s="59">
        <f>(G5/E5)</f>
        <v>0.69230769230769229</v>
      </c>
    </row>
    <row r="6" spans="1:92" s="46" customFormat="1" x14ac:dyDescent="0.35">
      <c r="B6" s="52"/>
      <c r="C6" s="52"/>
      <c r="D6" s="52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5"/>
      <c r="BY6" s="55"/>
      <c r="BZ6" s="55"/>
      <c r="CA6" s="55"/>
      <c r="CB6" s="55"/>
      <c r="CC6" s="55"/>
      <c r="CD6" s="55"/>
      <c r="CE6" s="55"/>
      <c r="CF6" s="55"/>
      <c r="CG6" s="55"/>
      <c r="CH6" s="55"/>
      <c r="CI6" s="55"/>
      <c r="CJ6" s="55"/>
      <c r="CK6" s="55"/>
      <c r="CL6" s="55"/>
      <c r="CM6" s="55"/>
      <c r="CN6" s="55"/>
    </row>
    <row r="8" spans="1:92" x14ac:dyDescent="0.35">
      <c r="G8" s="57" t="s">
        <v>154</v>
      </c>
      <c r="H8" s="56" t="s">
        <v>20</v>
      </c>
      <c r="I8" s="56"/>
      <c r="J8" s="56" t="s">
        <v>155</v>
      </c>
    </row>
    <row r="9" spans="1:92" x14ac:dyDescent="0.35">
      <c r="G9" s="40" t="s">
        <v>4</v>
      </c>
      <c r="H9" s="52">
        <f>SUM('Fevereiro '!D29+Março!D41+Abril!D39+'Maio '!D42)</f>
        <v>67.555555555555571</v>
      </c>
      <c r="I9" s="41"/>
      <c r="J9" s="58">
        <f>H9</f>
        <v>67.555555555555571</v>
      </c>
    </row>
    <row r="10" spans="1:92" x14ac:dyDescent="0.35">
      <c r="G10" s="40" t="s">
        <v>5</v>
      </c>
      <c r="H10" s="52">
        <f>SUM('Fevereiro '!D30+Março!D42+Abril!D40+'Maio '!D43)</f>
        <v>45.080555555555556</v>
      </c>
      <c r="I10" s="41"/>
      <c r="J10" s="58">
        <f t="shared" ref="J10:J15" si="0">H10</f>
        <v>45.080555555555556</v>
      </c>
    </row>
    <row r="11" spans="1:92" x14ac:dyDescent="0.35">
      <c r="G11" s="40" t="s">
        <v>6</v>
      </c>
      <c r="H11" s="52">
        <f>SUM('Fevereiro '!D31+Março!D43+Abril!D41+'Maio '!D44)</f>
        <v>22.475000000000001</v>
      </c>
      <c r="I11" s="41"/>
      <c r="J11" s="58">
        <f t="shared" si="0"/>
        <v>22.475000000000001</v>
      </c>
    </row>
    <row r="12" spans="1:92" ht="18.5" x14ac:dyDescent="0.45">
      <c r="A12" s="39"/>
      <c r="G12" s="40" t="s">
        <v>150</v>
      </c>
      <c r="H12" s="52">
        <f>SUM('Fevereiro '!D32+Março!D44+Abril!D42+'Maio '!D45)</f>
        <v>8.3868055555555561</v>
      </c>
      <c r="I12" s="41"/>
      <c r="J12" s="58">
        <f t="shared" si="0"/>
        <v>8.3868055555555561</v>
      </c>
    </row>
    <row r="13" spans="1:92" x14ac:dyDescent="0.35">
      <c r="G13" s="40" t="s">
        <v>148</v>
      </c>
      <c r="H13" s="52">
        <f>SUM('Fevereiro '!D33+Março!D45+Abril!D43+'Maio '!D46)</f>
        <v>9.7534722222222232</v>
      </c>
      <c r="I13" s="41"/>
      <c r="J13" s="58">
        <f t="shared" si="0"/>
        <v>9.7534722222222232</v>
      </c>
    </row>
    <row r="14" spans="1:92" x14ac:dyDescent="0.35">
      <c r="G14" s="40" t="s">
        <v>7</v>
      </c>
      <c r="H14" s="52">
        <f>SUM('Fevereiro '!D34+Março!D46+Abril!D44+'Maio '!D47)</f>
        <v>0.32847222222222217</v>
      </c>
      <c r="I14" s="41"/>
      <c r="J14" s="58">
        <f t="shared" si="0"/>
        <v>0.32847222222222217</v>
      </c>
    </row>
    <row r="15" spans="1:92" x14ac:dyDescent="0.35">
      <c r="G15" s="40" t="s">
        <v>8</v>
      </c>
      <c r="H15" s="52">
        <f>SUM('Fevereiro '!D35+Março!D47+Abril!D45+'Maio '!D48)</f>
        <v>4.0201388888888889</v>
      </c>
      <c r="I15" s="41"/>
      <c r="J15" s="58">
        <f t="shared" si="0"/>
        <v>4.0201388888888889</v>
      </c>
    </row>
    <row r="16" spans="1:92" x14ac:dyDescent="0.35">
      <c r="H16" s="42"/>
      <c r="I16" s="42"/>
    </row>
    <row r="18" spans="7:11" x14ac:dyDescent="0.35">
      <c r="G18" s="53" t="s">
        <v>163</v>
      </c>
      <c r="H18" s="54"/>
    </row>
    <row r="19" spans="7:11" x14ac:dyDescent="0.35">
      <c r="G19" s="46" t="s">
        <v>161</v>
      </c>
      <c r="H19" s="52">
        <f>SUM('Fevereiro '!H25+Março!H37+Abril!H35+'Maio '!H37)</f>
        <v>8.3868055555555561</v>
      </c>
    </row>
    <row r="20" spans="7:11" x14ac:dyDescent="0.35">
      <c r="G20" s="46" t="s">
        <v>162</v>
      </c>
      <c r="H20" s="52">
        <f>SUM('Fevereiro '!K25+Março!K37+Abril!K35+'Maio '!K37)</f>
        <v>4.0201388888888889</v>
      </c>
    </row>
    <row r="21" spans="7:11" x14ac:dyDescent="0.35">
      <c r="G21" s="55"/>
      <c r="H21" s="61"/>
      <c r="J21" s="60"/>
      <c r="K21" s="61"/>
    </row>
    <row r="22" spans="7:11" x14ac:dyDescent="0.35">
      <c r="G22" s="55"/>
      <c r="H22" s="61"/>
    </row>
  </sheetData>
  <mergeCells count="1">
    <mergeCell ref="A1:G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Fevereiro </vt:lpstr>
      <vt:lpstr>Março</vt:lpstr>
      <vt:lpstr>Abril</vt:lpstr>
      <vt:lpstr>Maio </vt:lpstr>
      <vt:lpstr>EQUIPAMENTOS</vt:lpstr>
      <vt:lpstr>PERFURAÇÃO</vt:lpstr>
      <vt:lpstr>QUÍMICOS</vt:lpstr>
      <vt:lpstr>EQUIPAMENTOS LOCADOS</vt:lpstr>
      <vt:lpstr>DASHBOARD PERFURAÇÃO</vt:lpstr>
      <vt:lpstr>DASHBOARD</vt:lpstr>
      <vt:lpstr>DISTRIBUIÇÃO DE HORAS PARADAS</vt:lpstr>
      <vt:lpstr>DASHBOARD MENSAL</vt:lpstr>
      <vt:lpstr>DASHBOARD GERAL DE EXECUÇÃO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Cintia Figueiredo de Souza</cp:lastModifiedBy>
  <dcterms:created xsi:type="dcterms:W3CDTF">2026-05-21T17:29:26Z</dcterms:created>
  <dcterms:modified xsi:type="dcterms:W3CDTF">2026-06-09T20:28:18Z</dcterms:modified>
</cp:coreProperties>
</file>