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intia.souza\Downloads\PLANEJAMENTO PROJETOS\"/>
    </mc:Choice>
  </mc:AlternateContent>
  <xr:revisionPtr revIDLastSave="0" documentId="13_ncr:1_{929A8E20-80ED-41E4-AA31-04C92D1B04A2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Cronograma Projetos inicio 2026" sheetId="8" r:id="rId1"/>
    <sheet name="Projetos" sheetId="2" r:id="rId2"/>
    <sheet name="Cronograma" sheetId="3" r:id="rId3"/>
    <sheet name="Contratos" sheetId="6" r:id="rId4"/>
    <sheet name="Dashboard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8" l="1"/>
  <c r="E17" i="8"/>
  <c r="E19" i="8"/>
  <c r="E16" i="8"/>
  <c r="E3" i="8"/>
  <c r="E4" i="8"/>
  <c r="E5" i="8"/>
  <c r="E6" i="8"/>
  <c r="E7" i="8"/>
  <c r="E10" i="8"/>
  <c r="E11" i="8"/>
  <c r="E12" i="8"/>
  <c r="E13" i="8"/>
  <c r="E14" i="8"/>
  <c r="E2" i="8"/>
  <c r="I11" i="2"/>
  <c r="G11" i="3"/>
  <c r="H2" i="3" l="1"/>
  <c r="H4" i="3"/>
  <c r="I4" i="3"/>
  <c r="I7" i="3"/>
  <c r="I9" i="3"/>
  <c r="I10" i="3"/>
  <c r="I11" i="3"/>
  <c r="I12" i="3"/>
  <c r="I13" i="3"/>
  <c r="I14" i="3"/>
  <c r="I15" i="3"/>
  <c r="I16" i="3"/>
  <c r="I17" i="3"/>
  <c r="I18" i="3"/>
  <c r="I19" i="3"/>
  <c r="H7" i="3"/>
  <c r="H9" i="3"/>
  <c r="H11" i="3"/>
  <c r="H13" i="3"/>
  <c r="H14" i="3"/>
  <c r="H15" i="3"/>
  <c r="H16" i="3"/>
  <c r="H17" i="3"/>
  <c r="H18" i="3"/>
  <c r="H19" i="3"/>
  <c r="I2" i="3" l="1"/>
</calcChain>
</file>

<file path=xl/sharedStrings.xml><?xml version="1.0" encoding="utf-8"?>
<sst xmlns="http://schemas.openxmlformats.org/spreadsheetml/2006/main" count="105" uniqueCount="68">
  <si>
    <t>SISTEMA PROFISSIONAL DE CONTROLE DE PROJETOS</t>
  </si>
  <si>
    <t>Projeto</t>
  </si>
  <si>
    <t>Cliente</t>
  </si>
  <si>
    <t>Contrato</t>
  </si>
  <si>
    <t>Centro de Custo</t>
  </si>
  <si>
    <t>Geólogo Responsável</t>
  </si>
  <si>
    <t>Data Início</t>
  </si>
  <si>
    <t>Data Fim Prevista</t>
  </si>
  <si>
    <t>% Concluído</t>
  </si>
  <si>
    <t>Status</t>
  </si>
  <si>
    <t>Valor Contrato</t>
  </si>
  <si>
    <t>Atividade</t>
  </si>
  <si>
    <t>Início Planejado</t>
  </si>
  <si>
    <t>Fim Planejado</t>
  </si>
  <si>
    <t>Início Real</t>
  </si>
  <si>
    <t>Fim Real</t>
  </si>
  <si>
    <t>Email NF</t>
  </si>
  <si>
    <t>Portal</t>
  </si>
  <si>
    <t>Prazo Pagamento</t>
  </si>
  <si>
    <t>Dias Planejado</t>
  </si>
  <si>
    <t xml:space="preserve">Dias Real </t>
  </si>
  <si>
    <t>Equipamento</t>
  </si>
  <si>
    <t>Turno</t>
  </si>
  <si>
    <t>Equipe</t>
  </si>
  <si>
    <t>Cargo</t>
  </si>
  <si>
    <t>Kimberly-Clark Brasil</t>
  </si>
  <si>
    <t>Local</t>
  </si>
  <si>
    <t>CDMA - Spot</t>
  </si>
  <si>
    <t>Ricardo (Estagiario)</t>
  </si>
  <si>
    <t>MRV HIDROPLUS</t>
  </si>
  <si>
    <t>ANDRADINA</t>
  </si>
  <si>
    <t>Manutenção/Hydropuls</t>
  </si>
  <si>
    <t xml:space="preserve">Wilton </t>
  </si>
  <si>
    <t>mineiro/João</t>
  </si>
  <si>
    <t>Quimico-Cloro granulado</t>
  </si>
  <si>
    <t>Aguardando</t>
  </si>
  <si>
    <t>SONDADOR MASTER JR</t>
  </si>
  <si>
    <t>Aditivo (custo teste)</t>
  </si>
  <si>
    <t>MRV / Manutenção (2 poços)</t>
  </si>
  <si>
    <t>MRV RESERVA ROMANA</t>
  </si>
  <si>
    <t>PEDRO MEDEIROS</t>
  </si>
  <si>
    <t>Finalizando</t>
  </si>
  <si>
    <t>PERFURAÇÃO</t>
  </si>
  <si>
    <t>SANEPAR</t>
  </si>
  <si>
    <t>mineiro/Helio Lourenço</t>
  </si>
  <si>
    <t>FERROPORT ML 24010 (86012)</t>
  </si>
  <si>
    <t>FINALIZADO</t>
  </si>
  <si>
    <t>Início</t>
  </si>
  <si>
    <t>Fim</t>
  </si>
  <si>
    <t xml:space="preserve">Dias </t>
  </si>
  <si>
    <t>CITROSUCO  PP 25059 (88006)</t>
  </si>
  <si>
    <t>YAKULT MP 26005 (87037)</t>
  </si>
  <si>
    <t>PARC DAS ARTES</t>
  </si>
  <si>
    <t>AEGEA PARA ML 26001 (86016)</t>
  </si>
  <si>
    <t>CITROSUCO MH 25028 (85721)</t>
  </si>
  <si>
    <t>EM ANDAMENTO</t>
  </si>
  <si>
    <t>ARTESANO PP 25016 (88009)</t>
  </si>
  <si>
    <t>AMBIPAR ML 25003 (86014)</t>
  </si>
  <si>
    <t>HEINEKEN MC 25053 (85724)</t>
  </si>
  <si>
    <t>CARGIL BEBEDOURO ML 23008 (86008)</t>
  </si>
  <si>
    <t>DE CAFES MP 26014 (87038)</t>
  </si>
  <si>
    <t>ÁGUAS DE GUARIROBA</t>
  </si>
  <si>
    <t>YAKULT LORENA MH 25015.02</t>
  </si>
  <si>
    <t>VILA EUROPA PP 25066 (88008)</t>
  </si>
  <si>
    <t>GERDAU ARAÇARIGUAMA</t>
  </si>
  <si>
    <t>CEDAE</t>
  </si>
  <si>
    <t>ACELORMITTAL MP 24031</t>
  </si>
  <si>
    <t>YAKULT MH 26008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</si>
</sst>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6"/>
      <color theme="0"/>
      <name val="Calibri"/>
      <family val="2"/>
    </font>
    <font>
      <b/>
      <sz val="12"/>
      <color theme="0"/>
      <name val="Calibri"/>
      <family val="2"/>
      <scheme val="minor"/>
    </font>
    <font>
      <sz val="9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0" xfId="0" applyFont="1" applyFill="1"/>
    <xf numFmtId="0" fontId="3" fillId="2" borderId="0" xfId="0" applyFont="1" applyFill="1"/>
    <xf numFmtId="0" fontId="8" fillId="2" borderId="0" xfId="0" applyFont="1" applyFill="1" applyAlignment="1">
      <alignment horizontal="center" vertical="center"/>
    </xf>
    <xf numFmtId="0" fontId="1" fillId="0" borderId="0" xfId="0" applyFont="1"/>
    <xf numFmtId="14" fontId="0" fillId="0" borderId="0" xfId="0" applyNumberFormat="1"/>
    <xf numFmtId="44" fontId="0" fillId="0" borderId="0" xfId="0" applyNumberFormat="1"/>
    <xf numFmtId="0" fontId="9" fillId="0" borderId="0" xfId="0" applyFont="1"/>
    <xf numFmtId="0" fontId="10" fillId="0" borderId="0" xfId="0" applyFont="1"/>
    <xf numFmtId="10" fontId="0" fillId="0" borderId="0" xfId="0" applyNumberFormat="1"/>
    <xf numFmtId="0" fontId="3" fillId="0" borderId="0" xfId="0" applyFont="1" applyFill="1"/>
    <xf numFmtId="0" fontId="0" fillId="0" borderId="0" xfId="0" applyFill="1"/>
    <xf numFmtId="0" fontId="3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'Cronograma Projetos inicio 2026'!$B$1</c:f>
              <c:strCache>
                <c:ptCount val="1"/>
                <c:pt idx="0">
                  <c:v>Início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'Cronograma Projetos inicio 2026'!$A$2:$A$21</c:f>
              <c:strCache>
                <c:ptCount val="20"/>
                <c:pt idx="0">
                  <c:v>FERROPORT ML 24010 (86012)</c:v>
                </c:pt>
                <c:pt idx="1">
                  <c:v>CITROSUCO  PP 25059 (88006)</c:v>
                </c:pt>
                <c:pt idx="2">
                  <c:v>YAKULT MP 26005 (87037)</c:v>
                </c:pt>
                <c:pt idx="3">
                  <c:v>PARC DAS ARTES</c:v>
                </c:pt>
                <c:pt idx="4">
                  <c:v>AEGEA PARA ML 26001 (86016)</c:v>
                </c:pt>
                <c:pt idx="5">
                  <c:v>CITROSUCO MH 25028 (85721)</c:v>
                </c:pt>
                <c:pt idx="6">
                  <c:v>MRV RESERVA ROMANA</c:v>
                </c:pt>
                <c:pt idx="7">
                  <c:v>ARTESANO PP 25016 (88009)</c:v>
                </c:pt>
                <c:pt idx="8">
                  <c:v>AMBIPAR ML 25003 (86014)</c:v>
                </c:pt>
                <c:pt idx="9">
                  <c:v>HEINEKEN MC 25053 (85724)</c:v>
                </c:pt>
                <c:pt idx="10">
                  <c:v>DE CAFES MP 26014 (87038)</c:v>
                </c:pt>
                <c:pt idx="11">
                  <c:v>CARGIL BEBEDOURO ML 23008 (86008)</c:v>
                </c:pt>
                <c:pt idx="12">
                  <c:v>ÁGUAS DE GUARIROBA</c:v>
                </c:pt>
                <c:pt idx="13">
                  <c:v>SANEPAR</c:v>
                </c:pt>
                <c:pt idx="14">
                  <c:v>YAKULT LORENA MH 25015.02</c:v>
                </c:pt>
                <c:pt idx="15">
                  <c:v>YAKULT MH 26008</c:v>
                </c:pt>
                <c:pt idx="16">
                  <c:v>VILA EUROPA PP 25066 (88008)</c:v>
                </c:pt>
                <c:pt idx="17">
                  <c:v>GERDAU ARAÇARIGUAMA</c:v>
                </c:pt>
                <c:pt idx="18">
                  <c:v>CEDAE</c:v>
                </c:pt>
                <c:pt idx="19">
                  <c:v>ACELORMITTAL MP 24031</c:v>
                </c:pt>
              </c:strCache>
            </c:strRef>
          </c:cat>
          <c:val>
            <c:numRef>
              <c:f>'Cronograma Projetos inicio 2026'!$B$2:$B$21</c:f>
              <c:numCache>
                <c:formatCode>m/d/yyyy</c:formatCode>
                <c:ptCount val="20"/>
                <c:pt idx="0">
                  <c:v>46062</c:v>
                </c:pt>
                <c:pt idx="1">
                  <c:v>46071</c:v>
                </c:pt>
                <c:pt idx="2">
                  <c:v>46067</c:v>
                </c:pt>
                <c:pt idx="3">
                  <c:v>46062</c:v>
                </c:pt>
                <c:pt idx="4">
                  <c:v>46091</c:v>
                </c:pt>
                <c:pt idx="5">
                  <c:v>46091</c:v>
                </c:pt>
                <c:pt idx="6">
                  <c:v>46083</c:v>
                </c:pt>
                <c:pt idx="7">
                  <c:v>46104</c:v>
                </c:pt>
                <c:pt idx="8">
                  <c:v>46113</c:v>
                </c:pt>
                <c:pt idx="9">
                  <c:v>46125</c:v>
                </c:pt>
                <c:pt idx="10">
                  <c:v>46134</c:v>
                </c:pt>
                <c:pt idx="11">
                  <c:v>46119</c:v>
                </c:pt>
                <c:pt idx="12">
                  <c:v>46132</c:v>
                </c:pt>
                <c:pt idx="13">
                  <c:v>46132</c:v>
                </c:pt>
                <c:pt idx="14">
                  <c:v>46143</c:v>
                </c:pt>
                <c:pt idx="15">
                  <c:v>46169</c:v>
                </c:pt>
                <c:pt idx="16">
                  <c:v>46154</c:v>
                </c:pt>
                <c:pt idx="17">
                  <c:v>46160</c:v>
                </c:pt>
                <c:pt idx="18">
                  <c:v>46148</c:v>
                </c:pt>
                <c:pt idx="19">
                  <c:v>46181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C-42E4-8028-37E509ED1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3206671"/>
        <c:axId val="876108815"/>
      </c:barChart>
      <c:catAx>
        <c:axId val="803206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108815"/>
        <c:crosses val="autoZero"/>
        <c:auto val="1"/>
        <c:lblAlgn val="ctr"/>
        <c:lblOffset val="100"/>
        <c:noMultiLvlLbl val="0"/>
      </c:catAx>
      <c:valAx>
        <c:axId val="87610881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20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3</xdr:row>
      <xdr:rowOff>150810</xdr:rowOff>
    </xdr:from>
    <xdr:to>
      <xdr:col>20</xdr:col>
      <xdr:colOff>561975</xdr:colOff>
      <xdr:row>25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2EE4972-5E34-AACE-5395-686FE65DE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501B-7C65-45D1-894E-7CA26C51EDA2}">
  <dimension ref="A1:F31"/>
  <sheetViews>
    <sheetView workbookViewId="0">
      <selection activeCell="A35" sqref="A35"/>
    </sheetView>
  </sheetViews>
  <sheetFormatPr defaultRowHeight="14.5" x14ac:dyDescent="0.35"/>
  <cols>
    <col min="1" max="1" width="32.54296875" customWidth="1"/>
    <col min="2" max="2" width="21.7265625" customWidth="1"/>
    <col min="3" max="3" width="17.90625" customWidth="1"/>
    <col min="4" max="4" width="20.7265625" customWidth="1"/>
    <col min="5" max="5" width="21.1796875" customWidth="1"/>
  </cols>
  <sheetData>
    <row r="1" spans="1:6" s="6" customFormat="1" ht="29" customHeight="1" x14ac:dyDescent="0.35">
      <c r="A1" s="4" t="s">
        <v>1</v>
      </c>
      <c r="B1" s="4" t="s">
        <v>47</v>
      </c>
      <c r="C1" s="4" t="s">
        <v>48</v>
      </c>
      <c r="D1" s="4" t="s">
        <v>9</v>
      </c>
      <c r="E1" s="5" t="s">
        <v>49</v>
      </c>
      <c r="F1" s="4" t="s">
        <v>11</v>
      </c>
    </row>
    <row r="2" spans="1:6" x14ac:dyDescent="0.35">
      <c r="A2" s="10" t="s">
        <v>45</v>
      </c>
      <c r="B2" s="11">
        <v>46062</v>
      </c>
      <c r="C2" s="11">
        <v>46073</v>
      </c>
      <c r="D2" t="s">
        <v>46</v>
      </c>
      <c r="E2">
        <f>C2-B2</f>
        <v>11</v>
      </c>
    </row>
    <row r="3" spans="1:6" x14ac:dyDescent="0.35">
      <c r="A3" s="10" t="s">
        <v>50</v>
      </c>
      <c r="B3" s="11">
        <v>46071</v>
      </c>
      <c r="C3" s="11">
        <v>46072</v>
      </c>
      <c r="D3" t="s">
        <v>46</v>
      </c>
      <c r="E3">
        <f t="shared" ref="E3:E21" si="0">C3-B3</f>
        <v>1</v>
      </c>
    </row>
    <row r="4" spans="1:6" x14ac:dyDescent="0.35">
      <c r="A4" s="10" t="s">
        <v>51</v>
      </c>
      <c r="B4" s="11">
        <v>46067</v>
      </c>
      <c r="C4" s="11">
        <v>46070</v>
      </c>
      <c r="D4" t="s">
        <v>46</v>
      </c>
      <c r="E4">
        <f t="shared" si="0"/>
        <v>3</v>
      </c>
    </row>
    <row r="5" spans="1:6" x14ac:dyDescent="0.35">
      <c r="A5" s="10" t="s">
        <v>52</v>
      </c>
      <c r="B5" s="11">
        <v>46062</v>
      </c>
      <c r="C5" s="11">
        <v>46171</v>
      </c>
      <c r="D5" t="s">
        <v>46</v>
      </c>
      <c r="E5">
        <f t="shared" si="0"/>
        <v>109</v>
      </c>
    </row>
    <row r="6" spans="1:6" x14ac:dyDescent="0.35">
      <c r="A6" s="10" t="s">
        <v>53</v>
      </c>
      <c r="B6" s="11">
        <v>46091</v>
      </c>
      <c r="C6" s="11">
        <v>46125</v>
      </c>
      <c r="D6" t="s">
        <v>46</v>
      </c>
      <c r="E6">
        <f t="shared" si="0"/>
        <v>34</v>
      </c>
    </row>
    <row r="7" spans="1:6" x14ac:dyDescent="0.35">
      <c r="A7" s="10" t="s">
        <v>54</v>
      </c>
      <c r="B7" s="11">
        <v>46091</v>
      </c>
      <c r="C7" s="11">
        <v>46107</v>
      </c>
      <c r="D7" t="s">
        <v>46</v>
      </c>
      <c r="E7">
        <f t="shared" si="0"/>
        <v>16</v>
      </c>
    </row>
    <row r="8" spans="1:6" x14ac:dyDescent="0.35">
      <c r="A8" s="10" t="s">
        <v>39</v>
      </c>
      <c r="B8" s="11">
        <v>46083</v>
      </c>
      <c r="C8" s="11"/>
      <c r="D8" t="s">
        <v>55</v>
      </c>
    </row>
    <row r="9" spans="1:6" x14ac:dyDescent="0.35">
      <c r="A9" s="10" t="s">
        <v>56</v>
      </c>
      <c r="B9" s="11">
        <v>46104</v>
      </c>
      <c r="D9" t="s">
        <v>55</v>
      </c>
    </row>
    <row r="10" spans="1:6" x14ac:dyDescent="0.35">
      <c r="A10" s="10" t="s">
        <v>57</v>
      </c>
      <c r="B10" s="11">
        <v>46113</v>
      </c>
      <c r="C10" s="11">
        <v>46116</v>
      </c>
      <c r="D10" t="s">
        <v>55</v>
      </c>
      <c r="E10">
        <f t="shared" si="0"/>
        <v>3</v>
      </c>
    </row>
    <row r="11" spans="1:6" x14ac:dyDescent="0.35">
      <c r="A11" s="10" t="s">
        <v>58</v>
      </c>
      <c r="B11" s="11">
        <v>46125</v>
      </c>
      <c r="C11" s="11">
        <v>46133</v>
      </c>
      <c r="D11" t="s">
        <v>46</v>
      </c>
      <c r="E11">
        <f t="shared" si="0"/>
        <v>8</v>
      </c>
    </row>
    <row r="12" spans="1:6" x14ac:dyDescent="0.35">
      <c r="A12" s="10" t="s">
        <v>60</v>
      </c>
      <c r="B12" s="11">
        <v>46134</v>
      </c>
      <c r="C12" s="11">
        <v>46137</v>
      </c>
      <c r="D12" t="s">
        <v>46</v>
      </c>
      <c r="E12">
        <f t="shared" si="0"/>
        <v>3</v>
      </c>
    </row>
    <row r="13" spans="1:6" x14ac:dyDescent="0.35">
      <c r="A13" s="10" t="s">
        <v>59</v>
      </c>
      <c r="B13" s="11">
        <v>46119</v>
      </c>
      <c r="C13" s="11">
        <v>46130</v>
      </c>
      <c r="D13" t="s">
        <v>46</v>
      </c>
      <c r="E13">
        <f t="shared" si="0"/>
        <v>11</v>
      </c>
    </row>
    <row r="14" spans="1:6" x14ac:dyDescent="0.35">
      <c r="A14" s="10" t="s">
        <v>61</v>
      </c>
      <c r="B14" s="11">
        <v>46132</v>
      </c>
      <c r="C14" s="11">
        <v>46150</v>
      </c>
      <c r="D14" t="s">
        <v>46</v>
      </c>
      <c r="E14">
        <f t="shared" si="0"/>
        <v>18</v>
      </c>
    </row>
    <row r="15" spans="1:6" x14ac:dyDescent="0.35">
      <c r="A15" s="10" t="s">
        <v>43</v>
      </c>
      <c r="B15" s="11">
        <v>46132</v>
      </c>
      <c r="C15" s="11"/>
      <c r="D15" t="s">
        <v>55</v>
      </c>
    </row>
    <row r="16" spans="1:6" x14ac:dyDescent="0.35">
      <c r="A16" s="10" t="s">
        <v>62</v>
      </c>
      <c r="B16" s="11">
        <v>46143</v>
      </c>
      <c r="C16" s="11">
        <v>46158</v>
      </c>
      <c r="D16" t="s">
        <v>46</v>
      </c>
      <c r="E16">
        <f t="shared" si="0"/>
        <v>15</v>
      </c>
    </row>
    <row r="17" spans="1:5" x14ac:dyDescent="0.35">
      <c r="A17" s="10" t="s">
        <v>67</v>
      </c>
      <c r="B17" s="11">
        <v>46169</v>
      </c>
      <c r="C17" s="11">
        <v>46172</v>
      </c>
      <c r="D17" t="s">
        <v>46</v>
      </c>
      <c r="E17">
        <f t="shared" si="0"/>
        <v>3</v>
      </c>
    </row>
    <row r="18" spans="1:5" x14ac:dyDescent="0.35">
      <c r="A18" s="10" t="s">
        <v>63</v>
      </c>
      <c r="B18" s="11">
        <v>46154</v>
      </c>
      <c r="D18" t="s">
        <v>55</v>
      </c>
    </row>
    <row r="19" spans="1:5" x14ac:dyDescent="0.35">
      <c r="A19" s="10" t="s">
        <v>64</v>
      </c>
      <c r="B19" s="11">
        <v>46160</v>
      </c>
      <c r="C19" s="11">
        <v>46168</v>
      </c>
      <c r="D19" t="s">
        <v>46</v>
      </c>
      <c r="E19">
        <f t="shared" si="0"/>
        <v>8</v>
      </c>
    </row>
    <row r="20" spans="1:5" x14ac:dyDescent="0.35">
      <c r="A20" s="10" t="s">
        <v>65</v>
      </c>
      <c r="B20" s="11">
        <v>46148</v>
      </c>
      <c r="D20" t="s">
        <v>55</v>
      </c>
    </row>
    <row r="21" spans="1:5" x14ac:dyDescent="0.35">
      <c r="A21" s="10" t="s">
        <v>66</v>
      </c>
      <c r="B21" s="11">
        <v>46181</v>
      </c>
      <c r="C21" s="11">
        <v>46182</v>
      </c>
      <c r="D21" t="s">
        <v>46</v>
      </c>
      <c r="E21">
        <f t="shared" si="0"/>
        <v>1</v>
      </c>
    </row>
    <row r="22" spans="1:5" x14ac:dyDescent="0.35">
      <c r="A22" s="10"/>
      <c r="B22" s="11"/>
      <c r="C22" s="11"/>
    </row>
    <row r="23" spans="1:5" x14ac:dyDescent="0.35">
      <c r="A23" s="10"/>
      <c r="B23" s="11"/>
      <c r="C23" s="11"/>
    </row>
    <row r="24" spans="1:5" x14ac:dyDescent="0.35">
      <c r="A24" s="10"/>
      <c r="B24" s="11"/>
      <c r="C24" s="11"/>
    </row>
    <row r="27" spans="1:5" x14ac:dyDescent="0.35">
      <c r="A27" s="10"/>
      <c r="B27" s="11"/>
      <c r="C27" s="11"/>
    </row>
    <row r="29" spans="1:5" x14ac:dyDescent="0.35">
      <c r="A29" s="10"/>
      <c r="C29" s="11"/>
    </row>
    <row r="31" spans="1:5" x14ac:dyDescent="0.35">
      <c r="B31" s="11"/>
      <c r="C31" s="11"/>
      <c r="D31" s="15"/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"/>
  <sheetViews>
    <sheetView zoomScale="90" zoomScaleNormal="90" workbookViewId="0">
      <selection activeCell="A19" sqref="A19"/>
    </sheetView>
  </sheetViews>
  <sheetFormatPr defaultRowHeight="14.5" x14ac:dyDescent="0.35"/>
  <cols>
    <col min="1" max="1" width="35.36328125" customWidth="1"/>
    <col min="2" max="3" width="21.1796875" customWidth="1"/>
    <col min="4" max="4" width="18.7265625" customWidth="1"/>
    <col min="5" max="5" width="19.6328125" style="3" customWidth="1"/>
    <col min="6" max="6" width="23.54296875" customWidth="1"/>
    <col min="7" max="7" width="15.1796875" customWidth="1"/>
    <col min="8" max="8" width="17.6328125" customWidth="1"/>
    <col min="9" max="9" width="14.90625" customWidth="1"/>
    <col min="10" max="10" width="16.26953125" customWidth="1"/>
    <col min="11" max="11" width="23.90625" customWidth="1"/>
    <col min="12" max="12" width="17.26953125" customWidth="1"/>
    <col min="13" max="13" width="12.7265625" style="3" customWidth="1"/>
    <col min="14" max="14" width="29.453125" customWidth="1"/>
    <col min="15" max="15" width="21.1796875" customWidth="1"/>
  </cols>
  <sheetData>
    <row r="1" spans="1:15" s="2" customFormat="1" ht="26" customHeight="1" x14ac:dyDescent="0.35">
      <c r="A1" s="1" t="s">
        <v>1</v>
      </c>
      <c r="B1" s="1" t="s">
        <v>2</v>
      </c>
      <c r="C1" s="1" t="s">
        <v>26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21</v>
      </c>
      <c r="M1" s="1" t="s">
        <v>22</v>
      </c>
      <c r="N1" s="1" t="s">
        <v>23</v>
      </c>
      <c r="O1" s="9" t="s">
        <v>24</v>
      </c>
    </row>
    <row r="2" spans="1:15" x14ac:dyDescent="0.35">
      <c r="A2" s="10" t="s">
        <v>25</v>
      </c>
      <c r="C2" t="s">
        <v>27</v>
      </c>
      <c r="F2" t="s">
        <v>28</v>
      </c>
      <c r="G2" s="11">
        <v>46209</v>
      </c>
      <c r="J2" t="s">
        <v>35</v>
      </c>
      <c r="K2" s="12"/>
      <c r="M2" s="3">
        <v>1</v>
      </c>
      <c r="N2" t="s">
        <v>32</v>
      </c>
      <c r="O2" s="13" t="s">
        <v>36</v>
      </c>
    </row>
    <row r="3" spans="1:15" x14ac:dyDescent="0.35">
      <c r="A3" s="10"/>
      <c r="K3" s="12"/>
      <c r="O3" s="14"/>
    </row>
    <row r="4" spans="1:15" x14ac:dyDescent="0.35">
      <c r="A4" s="10"/>
      <c r="K4" s="12"/>
      <c r="O4" s="14"/>
    </row>
    <row r="5" spans="1:15" x14ac:dyDescent="0.35">
      <c r="A5" s="10"/>
      <c r="K5" s="12"/>
      <c r="O5" s="14"/>
    </row>
    <row r="6" spans="1:15" x14ac:dyDescent="0.35">
      <c r="A6" s="10"/>
      <c r="K6" s="12"/>
      <c r="O6" s="14"/>
    </row>
    <row r="7" spans="1:15" x14ac:dyDescent="0.35">
      <c r="A7" s="10" t="s">
        <v>38</v>
      </c>
      <c r="F7" t="s">
        <v>40</v>
      </c>
      <c r="G7" s="11">
        <v>46216</v>
      </c>
      <c r="H7" s="11">
        <v>46247</v>
      </c>
      <c r="J7" t="s">
        <v>35</v>
      </c>
      <c r="K7" s="12">
        <v>725000</v>
      </c>
      <c r="M7" s="3">
        <v>2</v>
      </c>
      <c r="O7" s="14"/>
    </row>
    <row r="8" spans="1:15" x14ac:dyDescent="0.35">
      <c r="A8" s="10"/>
      <c r="G8" s="11"/>
      <c r="H8" s="11"/>
      <c r="K8" s="12"/>
      <c r="O8" s="14"/>
    </row>
    <row r="9" spans="1:15" x14ac:dyDescent="0.35">
      <c r="A9" s="10"/>
      <c r="G9" s="11"/>
      <c r="H9" s="11"/>
      <c r="K9" s="12"/>
      <c r="O9" s="14"/>
    </row>
    <row r="10" spans="1:15" x14ac:dyDescent="0.35">
      <c r="A10" s="10"/>
      <c r="K10" s="12"/>
      <c r="O10" s="14"/>
    </row>
    <row r="11" spans="1:15" x14ac:dyDescent="0.35">
      <c r="A11" s="10" t="s">
        <v>39</v>
      </c>
      <c r="E11" s="3">
        <v>88011</v>
      </c>
      <c r="F11" t="s">
        <v>40</v>
      </c>
      <c r="G11" s="11">
        <v>46083</v>
      </c>
      <c r="H11" s="11">
        <v>46209</v>
      </c>
      <c r="I11" s="15">
        <f>H11/G11</f>
        <v>1.0027341969923833</v>
      </c>
      <c r="J11" t="s">
        <v>41</v>
      </c>
      <c r="K11" s="12"/>
      <c r="M11" s="3">
        <v>2</v>
      </c>
      <c r="N11" t="s">
        <v>33</v>
      </c>
      <c r="O11" s="14"/>
    </row>
    <row r="12" spans="1:15" x14ac:dyDescent="0.35">
      <c r="A12" s="10"/>
      <c r="K12" s="12"/>
      <c r="N12" t="s">
        <v>44</v>
      </c>
      <c r="O12" s="14"/>
    </row>
    <row r="13" spans="1:15" x14ac:dyDescent="0.35">
      <c r="A13" s="10"/>
      <c r="K13" s="12"/>
      <c r="O13" s="14"/>
    </row>
    <row r="14" spans="1:15" x14ac:dyDescent="0.35">
      <c r="A14" s="10"/>
      <c r="K14" s="12"/>
      <c r="O14" s="14"/>
    </row>
    <row r="15" spans="1:15" x14ac:dyDescent="0.35">
      <c r="A15" s="10" t="s">
        <v>30</v>
      </c>
      <c r="F15" t="s">
        <v>40</v>
      </c>
      <c r="J15" t="s">
        <v>35</v>
      </c>
      <c r="K15" s="12"/>
      <c r="O15" s="14"/>
    </row>
    <row r="16" spans="1:15" x14ac:dyDescent="0.35">
      <c r="A16" s="10"/>
      <c r="K16" s="12"/>
      <c r="O16" s="14"/>
    </row>
    <row r="17" spans="1:15" x14ac:dyDescent="0.35">
      <c r="A17" s="10"/>
      <c r="K17" s="12"/>
      <c r="O17" s="14"/>
    </row>
    <row r="18" spans="1:15" x14ac:dyDescent="0.35">
      <c r="A18" s="10"/>
      <c r="K18" s="12"/>
      <c r="O18" s="14"/>
    </row>
    <row r="19" spans="1:15" x14ac:dyDescent="0.35">
      <c r="A19" s="10"/>
      <c r="K19" s="12"/>
      <c r="O19" s="14"/>
    </row>
    <row r="20" spans="1:15" x14ac:dyDescent="0.35">
      <c r="A20" s="10"/>
      <c r="K20" s="12"/>
      <c r="O20" s="14"/>
    </row>
    <row r="21" spans="1:15" x14ac:dyDescent="0.35">
      <c r="A21" s="10"/>
      <c r="K21" s="12"/>
      <c r="O21" s="14"/>
    </row>
    <row r="22" spans="1:15" x14ac:dyDescent="0.35">
      <c r="A22" s="10"/>
      <c r="K22" s="12"/>
      <c r="O22" s="14"/>
    </row>
    <row r="23" spans="1:15" x14ac:dyDescent="0.35">
      <c r="A23" s="10"/>
      <c r="K23" s="12"/>
      <c r="O23" s="14"/>
    </row>
    <row r="24" spans="1:15" x14ac:dyDescent="0.35">
      <c r="A24" s="10"/>
      <c r="K24" s="12"/>
      <c r="O24" s="14"/>
    </row>
    <row r="25" spans="1:15" x14ac:dyDescent="0.35">
      <c r="A25" s="10"/>
      <c r="K25" s="12"/>
      <c r="O25" s="14"/>
    </row>
    <row r="26" spans="1:15" x14ac:dyDescent="0.35">
      <c r="A26" s="10"/>
      <c r="K26" s="12"/>
      <c r="O26" s="14"/>
    </row>
    <row r="27" spans="1:15" x14ac:dyDescent="0.35">
      <c r="A27" s="10"/>
      <c r="K27" s="12"/>
      <c r="O27" s="14"/>
    </row>
    <row r="28" spans="1:15" x14ac:dyDescent="0.35">
      <c r="A28" s="10"/>
      <c r="K28" s="12"/>
      <c r="O28" s="14"/>
    </row>
    <row r="29" spans="1:15" x14ac:dyDescent="0.35">
      <c r="A29" s="10"/>
      <c r="K29" s="12"/>
      <c r="O29" s="14"/>
    </row>
    <row r="30" spans="1:15" x14ac:dyDescent="0.35">
      <c r="A30" s="10"/>
      <c r="K30" s="12"/>
      <c r="O30" s="14"/>
    </row>
    <row r="31" spans="1:15" x14ac:dyDescent="0.35">
      <c r="A31" s="10"/>
      <c r="K31" s="12"/>
      <c r="O31" s="14"/>
    </row>
    <row r="32" spans="1:15" x14ac:dyDescent="0.35">
      <c r="A32" s="10"/>
      <c r="K32" s="12"/>
      <c r="O32" s="14"/>
    </row>
    <row r="33" spans="1:15" x14ac:dyDescent="0.35">
      <c r="A33" s="10"/>
      <c r="K33" s="12"/>
      <c r="O33" s="14"/>
    </row>
    <row r="34" spans="1:15" x14ac:dyDescent="0.35">
      <c r="A34" s="10"/>
      <c r="K34" s="12"/>
      <c r="O34" s="14"/>
    </row>
    <row r="35" spans="1:15" x14ac:dyDescent="0.35">
      <c r="A35" s="10"/>
      <c r="K35" s="12"/>
      <c r="O35" s="14"/>
    </row>
    <row r="36" spans="1:15" x14ac:dyDescent="0.35">
      <c r="A36" s="10"/>
      <c r="K36" s="12"/>
      <c r="O36" s="14"/>
    </row>
    <row r="37" spans="1:15" x14ac:dyDescent="0.35">
      <c r="A37" s="10"/>
      <c r="O37" s="14"/>
    </row>
    <row r="38" spans="1:15" x14ac:dyDescent="0.35">
      <c r="A38" s="10"/>
      <c r="O38" s="14"/>
    </row>
    <row r="39" spans="1:15" x14ac:dyDescent="0.35">
      <c r="A39" s="10"/>
      <c r="O39" s="14"/>
    </row>
    <row r="40" spans="1:15" x14ac:dyDescent="0.35">
      <c r="A40" s="10"/>
    </row>
    <row r="41" spans="1:15" x14ac:dyDescent="0.35">
      <c r="A41" s="1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>
      <selection activeCell="H13" sqref="H13"/>
    </sheetView>
  </sheetViews>
  <sheetFormatPr defaultRowHeight="14.5" x14ac:dyDescent="0.35"/>
  <cols>
    <col min="1" max="1" width="25" customWidth="1"/>
    <col min="2" max="2" width="21.7265625" style="3" customWidth="1"/>
    <col min="3" max="3" width="21.7265625" customWidth="1"/>
    <col min="4" max="4" width="17.90625" customWidth="1"/>
    <col min="5" max="5" width="16.6328125" customWidth="1"/>
    <col min="6" max="6" width="17.453125" customWidth="1"/>
    <col min="7" max="7" width="20.7265625" customWidth="1"/>
    <col min="8" max="8" width="21.1796875" customWidth="1"/>
    <col min="9" max="9" width="21" customWidth="1"/>
  </cols>
  <sheetData>
    <row r="1" spans="1:9" s="6" customFormat="1" ht="29" customHeight="1" x14ac:dyDescent="0.35">
      <c r="A1" s="4" t="s">
        <v>1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9</v>
      </c>
      <c r="H1" s="5" t="s">
        <v>19</v>
      </c>
      <c r="I1" s="4" t="s">
        <v>20</v>
      </c>
    </row>
    <row r="2" spans="1:9" x14ac:dyDescent="0.35">
      <c r="A2" s="10" t="s">
        <v>25</v>
      </c>
      <c r="C2" s="11">
        <v>46209</v>
      </c>
      <c r="D2" s="11">
        <v>46229</v>
      </c>
      <c r="H2">
        <f>D2-C2</f>
        <v>20</v>
      </c>
      <c r="I2">
        <f>F2-E2</f>
        <v>0</v>
      </c>
    </row>
    <row r="3" spans="1:9" x14ac:dyDescent="0.35">
      <c r="A3" s="10"/>
      <c r="C3" s="11"/>
      <c r="D3" s="11"/>
    </row>
    <row r="4" spans="1:9" x14ac:dyDescent="0.35">
      <c r="A4" s="10" t="s">
        <v>29</v>
      </c>
      <c r="B4" s="3" t="s">
        <v>31</v>
      </c>
      <c r="C4" s="11">
        <v>46216</v>
      </c>
      <c r="D4" s="11">
        <v>46233</v>
      </c>
      <c r="H4">
        <f>D4-C4</f>
        <v>17</v>
      </c>
      <c r="I4">
        <f t="shared" ref="I4:I19" si="0">F4-E4</f>
        <v>0</v>
      </c>
    </row>
    <row r="5" spans="1:9" x14ac:dyDescent="0.35">
      <c r="A5" t="s">
        <v>34</v>
      </c>
      <c r="B5" s="3" t="s">
        <v>37</v>
      </c>
    </row>
    <row r="7" spans="1:9" x14ac:dyDescent="0.35">
      <c r="A7" s="10" t="s">
        <v>30</v>
      </c>
      <c r="C7" s="11">
        <v>46244</v>
      </c>
      <c r="D7" s="11">
        <v>46255</v>
      </c>
      <c r="H7">
        <f t="shared" ref="H7:H19" si="1">D6-C6</f>
        <v>0</v>
      </c>
      <c r="I7">
        <f t="shared" si="0"/>
        <v>0</v>
      </c>
    </row>
    <row r="9" spans="1:9" x14ac:dyDescent="0.35">
      <c r="A9" s="10" t="s">
        <v>39</v>
      </c>
      <c r="B9" s="3" t="s">
        <v>42</v>
      </c>
      <c r="D9" s="11">
        <v>46204</v>
      </c>
      <c r="E9" s="11">
        <v>46083</v>
      </c>
      <c r="F9" s="11">
        <v>46212</v>
      </c>
      <c r="H9">
        <f>D9-C9</f>
        <v>46204</v>
      </c>
      <c r="I9">
        <f t="shared" si="0"/>
        <v>129</v>
      </c>
    </row>
    <row r="10" spans="1:9" x14ac:dyDescent="0.35">
      <c r="I10">
        <f t="shared" si="0"/>
        <v>0</v>
      </c>
    </row>
    <row r="11" spans="1:9" x14ac:dyDescent="0.35">
      <c r="A11" t="s">
        <v>43</v>
      </c>
      <c r="B11" s="3" t="s">
        <v>42</v>
      </c>
      <c r="C11" s="11">
        <v>46104</v>
      </c>
      <c r="D11" s="11">
        <v>46284</v>
      </c>
      <c r="E11" s="11">
        <v>46132</v>
      </c>
      <c r="F11" s="11">
        <v>46232</v>
      </c>
      <c r="G11" s="15">
        <f>I11/H11</f>
        <v>0.55555555555555558</v>
      </c>
      <c r="H11">
        <f>D11-C11</f>
        <v>180</v>
      </c>
      <c r="I11">
        <f t="shared" si="0"/>
        <v>100</v>
      </c>
    </row>
    <row r="12" spans="1:9" x14ac:dyDescent="0.35">
      <c r="I12">
        <f t="shared" si="0"/>
        <v>0</v>
      </c>
    </row>
    <row r="13" spans="1:9" x14ac:dyDescent="0.35">
      <c r="H13">
        <f t="shared" si="1"/>
        <v>0</v>
      </c>
      <c r="I13">
        <f t="shared" si="0"/>
        <v>0</v>
      </c>
    </row>
    <row r="14" spans="1:9" x14ac:dyDescent="0.35">
      <c r="H14">
        <f t="shared" si="1"/>
        <v>0</v>
      </c>
      <c r="I14">
        <f t="shared" si="0"/>
        <v>0</v>
      </c>
    </row>
    <row r="15" spans="1:9" x14ac:dyDescent="0.35">
      <c r="H15">
        <f t="shared" si="1"/>
        <v>0</v>
      </c>
      <c r="I15">
        <f t="shared" si="0"/>
        <v>0</v>
      </c>
    </row>
    <row r="16" spans="1:9" x14ac:dyDescent="0.35">
      <c r="H16">
        <f t="shared" si="1"/>
        <v>0</v>
      </c>
      <c r="I16">
        <f t="shared" si="0"/>
        <v>0</v>
      </c>
    </row>
    <row r="17" spans="8:9" x14ac:dyDescent="0.35">
      <c r="H17">
        <f t="shared" si="1"/>
        <v>0</v>
      </c>
      <c r="I17">
        <f t="shared" si="0"/>
        <v>0</v>
      </c>
    </row>
    <row r="18" spans="8:9" x14ac:dyDescent="0.35">
      <c r="H18">
        <f t="shared" si="1"/>
        <v>0</v>
      </c>
      <c r="I18">
        <f t="shared" si="0"/>
        <v>0</v>
      </c>
    </row>
    <row r="19" spans="8:9" x14ac:dyDescent="0.35">
      <c r="H19">
        <f t="shared" si="1"/>
        <v>0</v>
      </c>
      <c r="I19">
        <f t="shared" si="0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>
      <selection activeCell="B31" sqref="B31"/>
    </sheetView>
  </sheetViews>
  <sheetFormatPr defaultRowHeight="14.5" x14ac:dyDescent="0.35"/>
  <cols>
    <col min="1" max="1" width="32.26953125" customWidth="1"/>
    <col min="2" max="2" width="23.1796875" customWidth="1"/>
    <col min="3" max="3" width="18" customWidth="1"/>
    <col min="4" max="5" width="16.7265625" customWidth="1"/>
    <col min="6" max="6" width="31.54296875" customWidth="1"/>
    <col min="7" max="7" width="26.90625" customWidth="1"/>
    <col min="8" max="8" width="26.1796875" customWidth="1"/>
  </cols>
  <sheetData>
    <row r="1" spans="1:8" s="6" customFormat="1" ht="25" customHeight="1" x14ac:dyDescent="0.35">
      <c r="A1" s="4" t="s">
        <v>1</v>
      </c>
      <c r="B1" s="4" t="s">
        <v>2</v>
      </c>
      <c r="C1" s="4" t="s">
        <v>3</v>
      </c>
      <c r="D1" s="4" t="s">
        <v>4</v>
      </c>
      <c r="E1" s="4"/>
      <c r="F1" s="4" t="s">
        <v>16</v>
      </c>
      <c r="G1" s="4" t="s">
        <v>17</v>
      </c>
      <c r="H1" s="4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92"/>
  <sheetViews>
    <sheetView tabSelected="1" workbookViewId="0">
      <selection activeCell="J32" sqref="J32"/>
    </sheetView>
  </sheetViews>
  <sheetFormatPr defaultRowHeight="14.5" x14ac:dyDescent="0.35"/>
  <cols>
    <col min="1" max="16384" width="8.7265625" style="17"/>
  </cols>
  <sheetData>
    <row r="1" spans="1:30" s="16" customFormat="1" ht="21" x14ac:dyDescent="0.5">
      <c r="A1" s="18"/>
      <c r="B1" s="18"/>
      <c r="C1" s="18"/>
      <c r="D1" s="18"/>
      <c r="E1" s="18"/>
      <c r="F1" s="18"/>
      <c r="G1" s="18"/>
      <c r="H1" s="18"/>
      <c r="I1" s="8"/>
      <c r="J1" s="7" t="s">
        <v>0</v>
      </c>
      <c r="K1" s="8"/>
      <c r="L1" s="8"/>
      <c r="M1" s="8"/>
      <c r="N1" s="8"/>
      <c r="O1" s="8"/>
      <c r="P1" s="8"/>
      <c r="Q1" s="8"/>
      <c r="R1" s="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 x14ac:dyDescent="0.3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spans="1:30" x14ac:dyDescent="0.3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spans="1:30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spans="1:30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x14ac:dyDescent="0.3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spans="1:30" x14ac:dyDescent="0.3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spans="1:30" x14ac:dyDescent="0.3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spans="1:30" x14ac:dyDescent="0.3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spans="1:30" x14ac:dyDescent="0.3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spans="1:30" x14ac:dyDescent="0.3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spans="1:30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spans="1:30" x14ac:dyDescent="0.3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x14ac:dyDescent="0.3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pans="1:30" x14ac:dyDescent="0.3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x14ac:dyDescent="0.3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spans="1:30" x14ac:dyDescent="0.3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x14ac:dyDescent="0.3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spans="1:30" x14ac:dyDescent="0.3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x14ac:dyDescent="0.3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spans="1:30" x14ac:dyDescent="0.3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spans="1:30" x14ac:dyDescent="0.3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spans="1:30" x14ac:dyDescent="0.3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spans="1:30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spans="1:30" x14ac:dyDescent="0.3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spans="1:30" x14ac:dyDescent="0.3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spans="1:30" x14ac:dyDescent="0.3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pans="1:30" x14ac:dyDescent="0.3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spans="1:30" x14ac:dyDescent="0.3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spans="1:30" x14ac:dyDescent="0.3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spans="1:30" x14ac:dyDescent="0.3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spans="1:30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spans="1:30" x14ac:dyDescent="0.3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spans="1:30" x14ac:dyDescent="0.3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spans="1:30" x14ac:dyDescent="0.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spans="1:30" x14ac:dyDescent="0.3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spans="1:30" x14ac:dyDescent="0.3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pans="1:30" x14ac:dyDescent="0.3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spans="1:30" x14ac:dyDescent="0.3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pans="1:30" x14ac:dyDescent="0.3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spans="1:30" x14ac:dyDescent="0.3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pans="1:30" x14ac:dyDescent="0.3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spans="1:30" x14ac:dyDescent="0.3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0" x14ac:dyDescent="0.3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spans="1:30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0" x14ac:dyDescent="0.3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spans="1:30" x14ac:dyDescent="0.3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0" x14ac:dyDescent="0.3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spans="1:30" x14ac:dyDescent="0.3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0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 spans="1:30" x14ac:dyDescent="0.3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spans="1:30" x14ac:dyDescent="0.3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spans="1:30" x14ac:dyDescent="0.3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spans="1:30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 spans="1:30" x14ac:dyDescent="0.3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spans="1:30" x14ac:dyDescent="0.3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spans="1:30" x14ac:dyDescent="0.3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spans="1:30" x14ac:dyDescent="0.3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spans="1:30" x14ac:dyDescent="0.3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spans="1:30" x14ac:dyDescent="0.3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spans="1:30" x14ac:dyDescent="0.3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spans="1:30" x14ac:dyDescent="0.3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 spans="1:30" x14ac:dyDescent="0.3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spans="1:30" x14ac:dyDescent="0.3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 spans="1:30" x14ac:dyDescent="0.3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spans="1:30" x14ac:dyDescent="0.3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 spans="1:30" x14ac:dyDescent="0.3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spans="1:30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spans="1:30" x14ac:dyDescent="0.3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spans="1:30" x14ac:dyDescent="0.3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 spans="1:30" x14ac:dyDescent="0.3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spans="1:30" x14ac:dyDescent="0.3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 spans="1:30" x14ac:dyDescent="0.3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spans="1:30" x14ac:dyDescent="0.3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 spans="1:30" x14ac:dyDescent="0.3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spans="1:30" x14ac:dyDescent="0.3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 spans="1:30" x14ac:dyDescent="0.3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spans="1:30" x14ac:dyDescent="0.3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</row>
    <row r="79" spans="1:30" x14ac:dyDescent="0.3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spans="1:30" x14ac:dyDescent="0.3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 spans="1:30" x14ac:dyDescent="0.3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spans="1:30" x14ac:dyDescent="0.3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 spans="1:30" x14ac:dyDescent="0.3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spans="1:30" x14ac:dyDescent="0.3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spans="1:30" x14ac:dyDescent="0.3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spans="1:30" x14ac:dyDescent="0.3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spans="1:30" x14ac:dyDescent="0.3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spans="1:30" x14ac:dyDescent="0.3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spans="1:30" x14ac:dyDescent="0.3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spans="1:30" x14ac:dyDescent="0.3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spans="1:30" x14ac:dyDescent="0.3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spans="1:30" x14ac:dyDescent="0.3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 spans="1:30" x14ac:dyDescent="0.3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spans="1:30" x14ac:dyDescent="0.3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 spans="1:30" x14ac:dyDescent="0.3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spans="1:30" x14ac:dyDescent="0.3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spans="1:30" x14ac:dyDescent="0.3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spans="1:30" x14ac:dyDescent="0.3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spans="1:30" x14ac:dyDescent="0.3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spans="1:30" x14ac:dyDescent="0.3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spans="1:30" x14ac:dyDescent="0.3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spans="1:30" x14ac:dyDescent="0.3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spans="1:30" x14ac:dyDescent="0.3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spans="1:30" x14ac:dyDescent="0.3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spans="1:30" x14ac:dyDescent="0.3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spans="1:30" x14ac:dyDescent="0.3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spans="1:30" x14ac:dyDescent="0.3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spans="1:30" x14ac:dyDescent="0.3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 spans="1:30" x14ac:dyDescent="0.3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spans="1:30" x14ac:dyDescent="0.3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 spans="1:30" x14ac:dyDescent="0.3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spans="1:30" x14ac:dyDescent="0.3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spans="1:30" x14ac:dyDescent="0.3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spans="1:30" x14ac:dyDescent="0.3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spans="1:30" x14ac:dyDescent="0.3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spans="1:30" x14ac:dyDescent="0.3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spans="1:30" x14ac:dyDescent="0.3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spans="1:30" x14ac:dyDescent="0.3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spans="1:30" x14ac:dyDescent="0.3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spans="1:30" x14ac:dyDescent="0.3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spans="1:30" x14ac:dyDescent="0.3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spans="1:30" x14ac:dyDescent="0.3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spans="1:30" x14ac:dyDescent="0.3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spans="1:30" x14ac:dyDescent="0.3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 spans="1:30" x14ac:dyDescent="0.3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spans="1:30" x14ac:dyDescent="0.3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spans="1:30" x14ac:dyDescent="0.3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spans="1:30" x14ac:dyDescent="0.3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 spans="1:30" x14ac:dyDescent="0.3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spans="1:30" x14ac:dyDescent="0.3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 spans="1:30" x14ac:dyDescent="0.3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spans="1:30" x14ac:dyDescent="0.3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spans="1:30" x14ac:dyDescent="0.3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spans="1:30" x14ac:dyDescent="0.3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spans="1:30" x14ac:dyDescent="0.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spans="1:30" x14ac:dyDescent="0.3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spans="1:30" x14ac:dyDescent="0.3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spans="1:30" x14ac:dyDescent="0.3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spans="1:30" x14ac:dyDescent="0.3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spans="1:30" x14ac:dyDescent="0.3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 spans="1:30" x14ac:dyDescent="0.3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spans="1:30" x14ac:dyDescent="0.3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 spans="1:30" x14ac:dyDescent="0.3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spans="1:30" x14ac:dyDescent="0.3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spans="1:30" x14ac:dyDescent="0.3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spans="1:30" x14ac:dyDescent="0.3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 spans="1:30" x14ac:dyDescent="0.3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spans="1:30" x14ac:dyDescent="0.3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spans="1:30" x14ac:dyDescent="0.3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spans="1:30" x14ac:dyDescent="0.3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spans="1:30" x14ac:dyDescent="0.3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spans="1:30" x14ac:dyDescent="0.3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spans="1:30" x14ac:dyDescent="0.3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spans="1:30" x14ac:dyDescent="0.3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spans="1:30" x14ac:dyDescent="0.3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spans="1:30" x14ac:dyDescent="0.3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 spans="1:30" x14ac:dyDescent="0.3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spans="1:30" x14ac:dyDescent="0.3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spans="1:30" x14ac:dyDescent="0.3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spans="1:30" x14ac:dyDescent="0.3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 spans="1:30" x14ac:dyDescent="0.3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spans="1:30" x14ac:dyDescent="0.3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 spans="1:30" x14ac:dyDescent="0.3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spans="1:30" x14ac:dyDescent="0.3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spans="1:30" x14ac:dyDescent="0.3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spans="1:30" x14ac:dyDescent="0.3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spans="1:30" x14ac:dyDescent="0.3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spans="1:30" x14ac:dyDescent="0.3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spans="1:30" x14ac:dyDescent="0.3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spans="1:30" x14ac:dyDescent="0.3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 spans="1:30" x14ac:dyDescent="0.3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spans="1:30" x14ac:dyDescent="0.3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spans="1:30" x14ac:dyDescent="0.3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spans="1:30" x14ac:dyDescent="0.3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spans="1:30" x14ac:dyDescent="0.3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spans="1:30" x14ac:dyDescent="0.3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 spans="1:30" x14ac:dyDescent="0.3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spans="1:30" x14ac:dyDescent="0.3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 spans="1:30" x14ac:dyDescent="0.3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spans="1:30" x14ac:dyDescent="0.3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 spans="1:30" x14ac:dyDescent="0.3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spans="1:30" x14ac:dyDescent="0.3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 spans="1:30" x14ac:dyDescent="0.3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spans="1:30" x14ac:dyDescent="0.3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 spans="1:30" x14ac:dyDescent="0.3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spans="1:30" x14ac:dyDescent="0.3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 spans="1:30" x14ac:dyDescent="0.3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spans="1:30" x14ac:dyDescent="0.3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 spans="1:30" x14ac:dyDescent="0.3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spans="1:30" x14ac:dyDescent="0.3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 spans="1:30" x14ac:dyDescent="0.3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spans="1:30" x14ac:dyDescent="0.3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 spans="1:30" x14ac:dyDescent="0.3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spans="1:30" x14ac:dyDescent="0.3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 spans="1:30" x14ac:dyDescent="0.3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spans="1:30" x14ac:dyDescent="0.3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 spans="1:30" x14ac:dyDescent="0.3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spans="1:30" x14ac:dyDescent="0.3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spans="1:30" x14ac:dyDescent="0.3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spans="1:30" x14ac:dyDescent="0.3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spans="1:30" x14ac:dyDescent="0.3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spans="1:30" x14ac:dyDescent="0.3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spans="1:30" x14ac:dyDescent="0.3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spans="1:30" x14ac:dyDescent="0.3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spans="1:30" x14ac:dyDescent="0.3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spans="1:30" x14ac:dyDescent="0.3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spans="1:30" x14ac:dyDescent="0.3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spans="1:30" x14ac:dyDescent="0.3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spans="1:30" x14ac:dyDescent="0.3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spans="1:30" x14ac:dyDescent="0.3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spans="1:30" x14ac:dyDescent="0.3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spans="1:30" x14ac:dyDescent="0.3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spans="1:30" x14ac:dyDescent="0.3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spans="1:30" x14ac:dyDescent="0.3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spans="1:30" x14ac:dyDescent="0.3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spans="1:30" x14ac:dyDescent="0.3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spans="1:30" x14ac:dyDescent="0.3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spans="1:30" x14ac:dyDescent="0.3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spans="1:30" x14ac:dyDescent="0.3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spans="1:30" x14ac:dyDescent="0.3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spans="1:30" x14ac:dyDescent="0.3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spans="1:30" x14ac:dyDescent="0.3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spans="1:30" x14ac:dyDescent="0.3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spans="1:30" x14ac:dyDescent="0.3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spans="1:30" x14ac:dyDescent="0.3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spans="1:30" x14ac:dyDescent="0.3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spans="1:30" x14ac:dyDescent="0.3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spans="1:30" x14ac:dyDescent="0.3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spans="1:30" x14ac:dyDescent="0.3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spans="1:30" x14ac:dyDescent="0.3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spans="1:30" x14ac:dyDescent="0.3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spans="1:30" x14ac:dyDescent="0.3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spans="1:30" x14ac:dyDescent="0.3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spans="1:30" x14ac:dyDescent="0.3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spans="1:30" x14ac:dyDescent="0.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spans="1:30" x14ac:dyDescent="0.3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spans="1:30" x14ac:dyDescent="0.3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spans="1:30" x14ac:dyDescent="0.3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spans="1:30" x14ac:dyDescent="0.3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spans="1:30" x14ac:dyDescent="0.3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spans="1:30" x14ac:dyDescent="0.3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spans="1:30" x14ac:dyDescent="0.3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spans="1:30" x14ac:dyDescent="0.3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spans="1:30" x14ac:dyDescent="0.3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spans="1:30" x14ac:dyDescent="0.3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spans="1:30" x14ac:dyDescent="0.3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spans="1:30" x14ac:dyDescent="0.3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spans="1:30" x14ac:dyDescent="0.3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spans="1:30" x14ac:dyDescent="0.3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spans="1:30" x14ac:dyDescent="0.3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spans="1:30" x14ac:dyDescent="0.3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spans="1:30" x14ac:dyDescent="0.3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spans="1:30" x14ac:dyDescent="0.3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spans="1:30" x14ac:dyDescent="0.3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spans="1:30" x14ac:dyDescent="0.3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spans="1:30" x14ac:dyDescent="0.3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spans="1:30" x14ac:dyDescent="0.3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spans="1:30" x14ac:dyDescent="0.3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spans="1:30" x14ac:dyDescent="0.3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spans="1:30" x14ac:dyDescent="0.3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spans="1:30" x14ac:dyDescent="0.3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spans="1:30" x14ac:dyDescent="0.3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spans="1:30" x14ac:dyDescent="0.3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spans="1:30" x14ac:dyDescent="0.3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spans="1:30" x14ac:dyDescent="0.3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spans="1:30" x14ac:dyDescent="0.3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spans="1:30" x14ac:dyDescent="0.3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spans="1:30" x14ac:dyDescent="0.3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spans="1:30" x14ac:dyDescent="0.3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spans="1:30" x14ac:dyDescent="0.3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spans="1:30" x14ac:dyDescent="0.3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spans="1:30" x14ac:dyDescent="0.3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spans="1:30" x14ac:dyDescent="0.3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spans="1:30" x14ac:dyDescent="0.3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spans="1:30" x14ac:dyDescent="0.3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spans="1:30" x14ac:dyDescent="0.3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spans="1:30" x14ac:dyDescent="0.3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spans="1:30" x14ac:dyDescent="0.3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spans="1:30" x14ac:dyDescent="0.3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spans="1:30" x14ac:dyDescent="0.3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spans="1:30" x14ac:dyDescent="0.3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spans="1:30" x14ac:dyDescent="0.3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spans="1:30" x14ac:dyDescent="0.3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spans="1:30" x14ac:dyDescent="0.3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spans="1:30" x14ac:dyDescent="0.3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spans="1:30" x14ac:dyDescent="0.3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spans="1:30" x14ac:dyDescent="0.3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spans="1:30" x14ac:dyDescent="0.3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spans="1:30" x14ac:dyDescent="0.3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spans="1:30" x14ac:dyDescent="0.3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spans="1:30" x14ac:dyDescent="0.3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spans="1:30" x14ac:dyDescent="0.3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spans="1:30" x14ac:dyDescent="0.3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spans="1:30" x14ac:dyDescent="0.3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spans="1:30" x14ac:dyDescent="0.3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spans="1:30" x14ac:dyDescent="0.3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spans="1:30" x14ac:dyDescent="0.3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spans="1:30" x14ac:dyDescent="0.3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spans="1:30" x14ac:dyDescent="0.3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spans="1:30" x14ac:dyDescent="0.3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spans="1:30" x14ac:dyDescent="0.3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spans="1:30" x14ac:dyDescent="0.3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spans="1:30" x14ac:dyDescent="0.3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spans="1:30" x14ac:dyDescent="0.3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spans="1:30" x14ac:dyDescent="0.3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spans="1:30" x14ac:dyDescent="0.3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spans="1:30" x14ac:dyDescent="0.3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spans="1:30" x14ac:dyDescent="0.3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spans="1:30" x14ac:dyDescent="0.3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spans="1:30" x14ac:dyDescent="0.3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spans="1:30" x14ac:dyDescent="0.3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spans="1:30" x14ac:dyDescent="0.3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spans="1:30" x14ac:dyDescent="0.3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spans="1:30" x14ac:dyDescent="0.3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spans="1:30" x14ac:dyDescent="0.3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spans="1:30" x14ac:dyDescent="0.3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spans="1:30" x14ac:dyDescent="0.3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spans="1:30" x14ac:dyDescent="0.3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spans="1:30" x14ac:dyDescent="0.3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spans="1:30" x14ac:dyDescent="0.3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spans="1:30" x14ac:dyDescent="0.3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spans="1:30" x14ac:dyDescent="0.3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spans="1:30" x14ac:dyDescent="0.3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spans="1:30" x14ac:dyDescent="0.3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spans="1:30" x14ac:dyDescent="0.3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spans="1:30" x14ac:dyDescent="0.3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spans="1:30" x14ac:dyDescent="0.3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spans="1:30" x14ac:dyDescent="0.3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spans="1:30" x14ac:dyDescent="0.3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spans="1:30" x14ac:dyDescent="0.3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spans="1:30" x14ac:dyDescent="0.3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spans="1:30" x14ac:dyDescent="0.3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spans="1:30" x14ac:dyDescent="0.3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spans="1:30" x14ac:dyDescent="0.3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spans="1:30" x14ac:dyDescent="0.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spans="1:30" x14ac:dyDescent="0.3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spans="1:30" x14ac:dyDescent="0.3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spans="1:30" x14ac:dyDescent="0.3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spans="1:30" x14ac:dyDescent="0.3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spans="1:30" x14ac:dyDescent="0.3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spans="1:30" x14ac:dyDescent="0.3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spans="1:30" x14ac:dyDescent="0.3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spans="1:30" x14ac:dyDescent="0.3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spans="1:30" x14ac:dyDescent="0.3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spans="1:30" x14ac:dyDescent="0.3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spans="1:30" x14ac:dyDescent="0.3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spans="1:30" x14ac:dyDescent="0.3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spans="1:30" x14ac:dyDescent="0.3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spans="1:30" x14ac:dyDescent="0.3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spans="1:30" x14ac:dyDescent="0.3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spans="1:30" x14ac:dyDescent="0.3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spans="1:30" x14ac:dyDescent="0.3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spans="1:30" x14ac:dyDescent="0.3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spans="1:30" x14ac:dyDescent="0.3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spans="1:30" x14ac:dyDescent="0.3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spans="1:30" x14ac:dyDescent="0.3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spans="1:30" x14ac:dyDescent="0.3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spans="1:30" x14ac:dyDescent="0.3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spans="1:30" x14ac:dyDescent="0.3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spans="1:30" x14ac:dyDescent="0.3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spans="1:30" x14ac:dyDescent="0.3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spans="1:30" x14ac:dyDescent="0.3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spans="1:30" x14ac:dyDescent="0.3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spans="1:30" x14ac:dyDescent="0.3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spans="1:30" x14ac:dyDescent="0.3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spans="1:30" x14ac:dyDescent="0.3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spans="1:30" x14ac:dyDescent="0.3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spans="1:30" x14ac:dyDescent="0.3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spans="1:30" x14ac:dyDescent="0.3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spans="1:30" x14ac:dyDescent="0.3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spans="1:30" x14ac:dyDescent="0.3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spans="1:30" x14ac:dyDescent="0.3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spans="1:30" x14ac:dyDescent="0.3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spans="1:30" x14ac:dyDescent="0.3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spans="1:30" x14ac:dyDescent="0.3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spans="1:30" x14ac:dyDescent="0.3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spans="1:30" x14ac:dyDescent="0.3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spans="1:30" x14ac:dyDescent="0.3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spans="1:30" x14ac:dyDescent="0.3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spans="1:30" x14ac:dyDescent="0.3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spans="1:30" x14ac:dyDescent="0.3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spans="1:30" x14ac:dyDescent="0.3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spans="1:30" x14ac:dyDescent="0.3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spans="1:30" x14ac:dyDescent="0.3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spans="1:30" x14ac:dyDescent="0.3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spans="1:30" x14ac:dyDescent="0.3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spans="1:30" x14ac:dyDescent="0.3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spans="1:30" x14ac:dyDescent="0.3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spans="1:30" x14ac:dyDescent="0.3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spans="1:30" x14ac:dyDescent="0.3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spans="1:30" x14ac:dyDescent="0.3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spans="1:30" x14ac:dyDescent="0.3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spans="1:30" x14ac:dyDescent="0.3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spans="1:30" x14ac:dyDescent="0.3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spans="1:30" x14ac:dyDescent="0.3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spans="1:30" x14ac:dyDescent="0.3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spans="1:30" x14ac:dyDescent="0.3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spans="1:30" x14ac:dyDescent="0.3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spans="1:30" x14ac:dyDescent="0.3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spans="1:30" x14ac:dyDescent="0.3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spans="1:30" x14ac:dyDescent="0.3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spans="1:30" x14ac:dyDescent="0.3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spans="1:30" x14ac:dyDescent="0.3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spans="1:30" x14ac:dyDescent="0.3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spans="1:30" x14ac:dyDescent="0.3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spans="1:30" x14ac:dyDescent="0.3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spans="1:30" x14ac:dyDescent="0.3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spans="1:30" x14ac:dyDescent="0.3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spans="1:30" x14ac:dyDescent="0.3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spans="1:30" x14ac:dyDescent="0.3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spans="1:30" x14ac:dyDescent="0.3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spans="1:30" x14ac:dyDescent="0.3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spans="1:30" x14ac:dyDescent="0.3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spans="1:30" x14ac:dyDescent="0.3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spans="1:30" x14ac:dyDescent="0.3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spans="1:30" x14ac:dyDescent="0.3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spans="1:30" x14ac:dyDescent="0.3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spans="1:30" x14ac:dyDescent="0.3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spans="1:30" x14ac:dyDescent="0.3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spans="1:30" x14ac:dyDescent="0.3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spans="1:30" x14ac:dyDescent="0.3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spans="1:30" x14ac:dyDescent="0.3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spans="1:30" x14ac:dyDescent="0.3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spans="1:30" x14ac:dyDescent="0.3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spans="1:30" x14ac:dyDescent="0.3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spans="1:30" x14ac:dyDescent="0.3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spans="1:30" x14ac:dyDescent="0.3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spans="1:30" x14ac:dyDescent="0.3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spans="1:30" x14ac:dyDescent="0.3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spans="1:30" x14ac:dyDescent="0.3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spans="1:30" x14ac:dyDescent="0.3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spans="1:30" x14ac:dyDescent="0.3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spans="1:30" x14ac:dyDescent="0.3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spans="1:30" x14ac:dyDescent="0.3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spans="1:30" x14ac:dyDescent="0.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spans="1:30" x14ac:dyDescent="0.3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spans="1:30" x14ac:dyDescent="0.3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spans="1:30" x14ac:dyDescent="0.3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spans="1:30" x14ac:dyDescent="0.3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spans="1:30" x14ac:dyDescent="0.3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spans="1:30" x14ac:dyDescent="0.3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spans="1:30" x14ac:dyDescent="0.3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spans="1:30" x14ac:dyDescent="0.3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spans="1:30" x14ac:dyDescent="0.3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spans="1:30" x14ac:dyDescent="0.3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spans="1:30" x14ac:dyDescent="0.3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spans="1:30" x14ac:dyDescent="0.3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spans="1:30" x14ac:dyDescent="0.3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spans="1:30" x14ac:dyDescent="0.3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spans="1:30" x14ac:dyDescent="0.3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spans="1:30" x14ac:dyDescent="0.3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spans="1:30" x14ac:dyDescent="0.3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spans="1:30" x14ac:dyDescent="0.3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spans="1:30" x14ac:dyDescent="0.3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spans="1:30" x14ac:dyDescent="0.3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spans="1:30" x14ac:dyDescent="0.3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spans="1:30" x14ac:dyDescent="0.3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spans="1:30" x14ac:dyDescent="0.3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spans="1:30" x14ac:dyDescent="0.3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spans="1:30" x14ac:dyDescent="0.3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spans="1:30" x14ac:dyDescent="0.3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spans="1:30" x14ac:dyDescent="0.3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spans="1:30" x14ac:dyDescent="0.3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spans="1:30" x14ac:dyDescent="0.3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spans="1:30" x14ac:dyDescent="0.3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spans="1:30" x14ac:dyDescent="0.3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spans="1:30" x14ac:dyDescent="0.3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spans="1:30" x14ac:dyDescent="0.3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spans="1:30" x14ac:dyDescent="0.3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spans="1:30" x14ac:dyDescent="0.3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spans="1:30" x14ac:dyDescent="0.3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spans="1:30" x14ac:dyDescent="0.3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spans="1:30" x14ac:dyDescent="0.3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spans="1:30" x14ac:dyDescent="0.3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spans="1:30" x14ac:dyDescent="0.3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spans="1:30" x14ac:dyDescent="0.3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spans="1:30" x14ac:dyDescent="0.3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spans="1:30" x14ac:dyDescent="0.3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spans="1:30" x14ac:dyDescent="0.3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spans="1:30" x14ac:dyDescent="0.3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spans="1:30" x14ac:dyDescent="0.3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spans="1:30" x14ac:dyDescent="0.3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spans="1:30" x14ac:dyDescent="0.3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spans="1:30" x14ac:dyDescent="0.3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spans="1:30" x14ac:dyDescent="0.3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spans="1:30" x14ac:dyDescent="0.3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spans="1:30" x14ac:dyDescent="0.3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spans="1:30" x14ac:dyDescent="0.3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spans="1:30" x14ac:dyDescent="0.3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spans="1:30" x14ac:dyDescent="0.3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spans="1:30" x14ac:dyDescent="0.3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spans="1:30" x14ac:dyDescent="0.3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spans="1:30" x14ac:dyDescent="0.3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spans="1:30" x14ac:dyDescent="0.3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spans="1:30" x14ac:dyDescent="0.3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spans="1:30" x14ac:dyDescent="0.3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spans="1:30" x14ac:dyDescent="0.3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spans="1:30" x14ac:dyDescent="0.3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spans="1:30" x14ac:dyDescent="0.3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spans="1:30" x14ac:dyDescent="0.3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spans="1:30" x14ac:dyDescent="0.3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spans="1:30" x14ac:dyDescent="0.3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spans="1:30" x14ac:dyDescent="0.3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spans="1:30" x14ac:dyDescent="0.3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spans="1:30" x14ac:dyDescent="0.3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spans="1:30" x14ac:dyDescent="0.3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spans="1:30" x14ac:dyDescent="0.3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spans="1:30" x14ac:dyDescent="0.3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spans="1:30" x14ac:dyDescent="0.3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spans="1:30" x14ac:dyDescent="0.3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spans="1:30" x14ac:dyDescent="0.3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spans="1:30" x14ac:dyDescent="0.3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spans="1:30" x14ac:dyDescent="0.3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spans="1:30" x14ac:dyDescent="0.3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spans="1:30" x14ac:dyDescent="0.3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spans="1:30" x14ac:dyDescent="0.3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spans="1:30" x14ac:dyDescent="0.3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spans="1:30" x14ac:dyDescent="0.3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spans="1:30" x14ac:dyDescent="0.3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spans="1:30" x14ac:dyDescent="0.3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spans="1:30" x14ac:dyDescent="0.3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spans="1:30" x14ac:dyDescent="0.3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spans="1:30" x14ac:dyDescent="0.3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spans="1:30" x14ac:dyDescent="0.3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spans="1:30" x14ac:dyDescent="0.3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spans="1:30" x14ac:dyDescent="0.3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spans="1:30" x14ac:dyDescent="0.3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spans="1:30" x14ac:dyDescent="0.3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spans="1:30" x14ac:dyDescent="0.3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spans="1:30" x14ac:dyDescent="0.3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spans="1:30" x14ac:dyDescent="0.3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spans="1:30" x14ac:dyDescent="0.3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spans="1:30" x14ac:dyDescent="0.3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spans="1:30" x14ac:dyDescent="0.3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spans="1:30" x14ac:dyDescent="0.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spans="1:30" x14ac:dyDescent="0.3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spans="1:30" x14ac:dyDescent="0.3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spans="1:30" x14ac:dyDescent="0.3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spans="1:30" x14ac:dyDescent="0.3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spans="1:30" x14ac:dyDescent="0.3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spans="1:30" x14ac:dyDescent="0.3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spans="1:30" x14ac:dyDescent="0.3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spans="1:30" x14ac:dyDescent="0.3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spans="1:30" x14ac:dyDescent="0.3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spans="1:30" x14ac:dyDescent="0.3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spans="1:30" x14ac:dyDescent="0.3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spans="1:30" x14ac:dyDescent="0.3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spans="1:30" x14ac:dyDescent="0.3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spans="1:30" x14ac:dyDescent="0.3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spans="1:30" x14ac:dyDescent="0.3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spans="1:30" x14ac:dyDescent="0.3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spans="1:30" x14ac:dyDescent="0.3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spans="1:30" x14ac:dyDescent="0.3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spans="1:30" x14ac:dyDescent="0.3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spans="1:30" x14ac:dyDescent="0.3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spans="1:30" x14ac:dyDescent="0.3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spans="1:30" x14ac:dyDescent="0.3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spans="1:30" x14ac:dyDescent="0.3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spans="1:30" x14ac:dyDescent="0.3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spans="1:30" x14ac:dyDescent="0.3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spans="1:30" x14ac:dyDescent="0.3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spans="1:30" x14ac:dyDescent="0.3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spans="1:30" x14ac:dyDescent="0.3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spans="1:30" x14ac:dyDescent="0.3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spans="1:30" x14ac:dyDescent="0.3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spans="1:30" x14ac:dyDescent="0.3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spans="1:30" x14ac:dyDescent="0.3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spans="1:30" x14ac:dyDescent="0.3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spans="1:30" x14ac:dyDescent="0.3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spans="1:30" x14ac:dyDescent="0.3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spans="1:30" x14ac:dyDescent="0.3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spans="1:30" x14ac:dyDescent="0.3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spans="1:30" x14ac:dyDescent="0.3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spans="1:30" x14ac:dyDescent="0.3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spans="1:30" x14ac:dyDescent="0.3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spans="1:30" x14ac:dyDescent="0.3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spans="1:30" x14ac:dyDescent="0.3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spans="1:30" x14ac:dyDescent="0.3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spans="1:30" x14ac:dyDescent="0.3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spans="1:30" x14ac:dyDescent="0.3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spans="1:30" x14ac:dyDescent="0.3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spans="1:30" x14ac:dyDescent="0.3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spans="1:30" x14ac:dyDescent="0.3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spans="1:30" x14ac:dyDescent="0.3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spans="1:30" x14ac:dyDescent="0.3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spans="1:30" x14ac:dyDescent="0.3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spans="1:30" x14ac:dyDescent="0.3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spans="1:30" x14ac:dyDescent="0.3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spans="1:30" x14ac:dyDescent="0.3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spans="1:30" x14ac:dyDescent="0.3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spans="1:30" x14ac:dyDescent="0.3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spans="1:30" x14ac:dyDescent="0.3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Cronograma Projetos inicio 2026</vt:lpstr>
      <vt:lpstr>Projetos</vt:lpstr>
      <vt:lpstr>Cronograma</vt:lpstr>
      <vt:lpstr>Contratos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Cintia Figueiredo de Souza</cp:lastModifiedBy>
  <dcterms:created xsi:type="dcterms:W3CDTF">2026-06-25T10:56:37Z</dcterms:created>
  <dcterms:modified xsi:type="dcterms:W3CDTF">2026-07-02T17:57:16Z</dcterms:modified>
</cp:coreProperties>
</file>