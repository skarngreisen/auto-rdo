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geoeng-my.sharepoint.com/personal/nuvem_suez_gel-eng_com_br/Documents/SP/DH/Comercial/09. CONTRATOS/Sanepar/Cornélio Procópio - PR/PP25107/Custeio/"/>
    </mc:Choice>
  </mc:AlternateContent>
  <xr:revisionPtr revIDLastSave="8111" documentId="8_{DC279936-179B-4D47-8656-C315E314F63F}" xr6:coauthVersionLast="47" xr6:coauthVersionMax="47" xr10:uidLastSave="{9B654A0B-D5F4-4989-80A1-062CDD4D286F}"/>
  <bookViews>
    <workbookView xWindow="-110" yWindow="-110" windowWidth="19420" windowHeight="10300" tabRatio="848" activeTab="1" xr2:uid="{00000000-000D-0000-FFFF-FFFF00000000}"/>
  </bookViews>
  <sheets>
    <sheet name="Projeto" sheetId="24" r:id="rId1"/>
    <sheet name="Perfuração Cardwell" sheetId="9" r:id="rId2"/>
    <sheet name="Perfil Master" sheetId="20" r:id="rId3"/>
    <sheet name="Olho no Poço" sheetId="37" r:id="rId4"/>
    <sheet name="Resumo" sheetId="28" r:id="rId5"/>
    <sheet name="Rascunho" sheetId="38" r:id="rId6"/>
  </sheets>
  <definedNames>
    <definedName name="_xlnm.Print_Area" localSheetId="2">'Perfil Master'!$A$1:$F$63</definedName>
    <definedName name="_xlnm.Print_Area" localSheetId="1">'Perfuração Cardwell'!$A$1:$M$229</definedName>
    <definedName name="_xlnm.Print_Area" localSheetId="0">Projeto!$A$1:$J$55</definedName>
    <definedName name="_xlnm.Print_Area" localSheetId="4">Resumo!$A$1:$N$55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8" i="9" l="1"/>
  <c r="J151" i="9"/>
  <c r="D137" i="9"/>
  <c r="D138" i="9"/>
  <c r="D134" i="9"/>
  <c r="G218" i="9"/>
  <c r="E124" i="9" l="1"/>
  <c r="D143" i="9"/>
  <c r="D141" i="9"/>
  <c r="H139" i="9"/>
  <c r="I20" i="9"/>
  <c r="I19" i="9"/>
  <c r="I18" i="9"/>
  <c r="D135" i="9" l="1"/>
  <c r="J134" i="9"/>
  <c r="D133" i="9"/>
  <c r="I52" i="9"/>
  <c r="I49" i="9"/>
  <c r="I48" i="9"/>
  <c r="I159" i="9"/>
  <c r="J159" i="9" s="1"/>
  <c r="I103" i="9" l="1"/>
  <c r="E103" i="9"/>
  <c r="H163" i="9"/>
  <c r="G61" i="9" s="1"/>
  <c r="F46" i="9"/>
  <c r="F61" i="9" s="1"/>
  <c r="J22" i="9"/>
  <c r="J25" i="9"/>
  <c r="J27" i="9"/>
  <c r="J28" i="9"/>
  <c r="J30" i="9"/>
  <c r="J31" i="9"/>
  <c r="J39" i="9"/>
  <c r="E64" i="9"/>
  <c r="F29" i="9"/>
  <c r="E105" i="9" s="1"/>
  <c r="E26" i="9"/>
  <c r="E29" i="9" s="1"/>
  <c r="D105" i="9" s="1"/>
  <c r="E24" i="9"/>
  <c r="G24" i="9" s="1"/>
  <c r="I24" i="9" s="1"/>
  <c r="J24" i="9" s="1"/>
  <c r="D103" i="9" l="1"/>
  <c r="F103" i="9" s="1"/>
  <c r="J103" i="9" s="1"/>
  <c r="F48" i="9"/>
  <c r="F50" i="9"/>
  <c r="F51" i="9"/>
  <c r="F52" i="9"/>
  <c r="F59" i="9"/>
  <c r="F60" i="9"/>
  <c r="F49" i="9"/>
  <c r="F47" i="9"/>
  <c r="W7" i="28" l="1"/>
  <c r="B9" i="20"/>
  <c r="I67" i="9"/>
  <c r="H113" i="9"/>
  <c r="H112" i="9"/>
  <c r="B204" i="9"/>
  <c r="G36" i="9" l="1"/>
  <c r="J62" i="9" l="1"/>
  <c r="J51" i="9"/>
  <c r="J50" i="9"/>
  <c r="J49" i="9"/>
  <c r="J48" i="9"/>
  <c r="J47" i="9"/>
  <c r="J46" i="9"/>
  <c r="F84" i="9"/>
  <c r="F83" i="9"/>
  <c r="F82" i="9"/>
  <c r="L8" i="28" l="1"/>
  <c r="L9" i="28"/>
  <c r="L10" i="28"/>
  <c r="J160" i="9"/>
  <c r="J164" i="9" s="1"/>
  <c r="J161" i="9"/>
  <c r="J162" i="9"/>
  <c r="I71" i="9" l="1"/>
  <c r="H111" i="9" l="1"/>
  <c r="H110" i="9"/>
  <c r="H126" i="9"/>
  <c r="I126" i="9" s="1"/>
  <c r="H127" i="9"/>
  <c r="B206" i="9" l="1"/>
  <c r="B209" i="9"/>
  <c r="B208" i="9"/>
  <c r="B207" i="9"/>
  <c r="B205" i="9"/>
  <c r="B203" i="9"/>
  <c r="B202" i="9"/>
  <c r="B201" i="9"/>
  <c r="J67" i="9" l="1"/>
  <c r="I40" i="9" l="1"/>
  <c r="J40" i="9" s="1"/>
  <c r="I37" i="9"/>
  <c r="J37" i="9" s="1"/>
  <c r="G34" i="9"/>
  <c r="I34" i="9" s="1"/>
  <c r="J34" i="9" s="1"/>
  <c r="J148" i="9"/>
  <c r="I127" i="9"/>
  <c r="J149" i="9" l="1"/>
  <c r="J140" i="9"/>
  <c r="B8" i="20" l="1"/>
  <c r="J66" i="9" l="1"/>
  <c r="G114" i="9"/>
  <c r="G29" i="9"/>
  <c r="E23" i="9"/>
  <c r="H114" i="9" l="1"/>
  <c r="J114" i="9" s="1"/>
  <c r="E15" i="20" l="1"/>
  <c r="I38" i="9" l="1"/>
  <c r="E143" i="9"/>
  <c r="I128" i="9"/>
  <c r="H120" i="9"/>
  <c r="F53" i="9"/>
  <c r="E55" i="9"/>
  <c r="E54" i="9"/>
  <c r="I57" i="9"/>
  <c r="J57" i="9" s="1"/>
  <c r="I55" i="9"/>
  <c r="J55" i="9" s="1"/>
  <c r="I56" i="9"/>
  <c r="J56" i="9" s="1"/>
  <c r="I54" i="9"/>
  <c r="J54" i="9" s="1"/>
  <c r="F55" i="9"/>
  <c r="F56" i="9"/>
  <c r="F57" i="9"/>
  <c r="F54" i="9"/>
  <c r="E56" i="9"/>
  <c r="E57" i="9"/>
  <c r="F33" i="9"/>
  <c r="F32" i="9"/>
  <c r="I112" i="9" l="1"/>
  <c r="J38" i="9"/>
  <c r="I113" i="9"/>
  <c r="E9" i="20"/>
  <c r="D22" i="20"/>
  <c r="J191" i="9"/>
  <c r="G11" i="28" l="1"/>
  <c r="G10" i="28"/>
  <c r="G9" i="28"/>
  <c r="D9" i="28"/>
  <c r="G8" i="28"/>
  <c r="D8" i="28"/>
  <c r="G7" i="28"/>
  <c r="D7" i="28"/>
  <c r="G210" i="9"/>
  <c r="J218" i="9"/>
  <c r="H214" i="9"/>
  <c r="J189" i="9" l="1"/>
  <c r="J185" i="9" l="1"/>
  <c r="J190" i="9"/>
  <c r="J192" i="9"/>
  <c r="J183" i="9"/>
  <c r="J182" i="9"/>
  <c r="J181" i="9"/>
  <c r="J180" i="9"/>
  <c r="J179" i="9"/>
  <c r="J178" i="9"/>
  <c r="J177" i="9"/>
  <c r="J176" i="9"/>
  <c r="J175" i="9"/>
  <c r="J174" i="9"/>
  <c r="J146" i="9" l="1"/>
  <c r="H169" i="9" l="1"/>
  <c r="H170" i="9"/>
  <c r="H168" i="9"/>
  <c r="F156" i="9"/>
  <c r="I119" i="9" l="1"/>
  <c r="I105" i="9"/>
  <c r="E100" i="9" l="1"/>
  <c r="D99" i="9"/>
  <c r="E98" i="9"/>
  <c r="D98" i="9"/>
  <c r="D69" i="9"/>
  <c r="I69" i="9" s="1"/>
  <c r="D70" i="9"/>
  <c r="I70" i="9" s="1"/>
  <c r="D68" i="9"/>
  <c r="I68" i="9" s="1"/>
  <c r="F105" i="9" l="1"/>
  <c r="J105" i="9" s="1"/>
  <c r="F98" i="9"/>
  <c r="H64" i="9"/>
  <c r="I64" i="9" s="1"/>
  <c r="J64" i="9" s="1"/>
  <c r="B7" i="20" l="1"/>
  <c r="I36" i="9" l="1"/>
  <c r="J36" i="9" s="1"/>
  <c r="I35" i="9"/>
  <c r="J35" i="9" s="1"/>
  <c r="D104" i="9"/>
  <c r="D102" i="9"/>
  <c r="E21" i="9"/>
  <c r="D101" i="9" s="1"/>
  <c r="D20" i="9"/>
  <c r="F19" i="9"/>
  <c r="F20" i="9" s="1"/>
  <c r="E19" i="9"/>
  <c r="E20" i="9" s="1"/>
  <c r="C19" i="9"/>
  <c r="D19" i="9"/>
  <c r="E123" i="9" l="1"/>
  <c r="I29" i="9"/>
  <c r="J29" i="9" s="1"/>
  <c r="D100" i="9"/>
  <c r="D13" i="20"/>
  <c r="E13" i="20" s="1"/>
  <c r="D12" i="20"/>
  <c r="E12" i="20" s="1"/>
  <c r="E22" i="20"/>
  <c r="D18" i="20"/>
  <c r="E18" i="20" s="1"/>
  <c r="D19" i="20"/>
  <c r="E19" i="20" s="1"/>
  <c r="D20" i="20"/>
  <c r="E20" i="20" s="1"/>
  <c r="D21" i="20"/>
  <c r="E21" i="20" s="1"/>
  <c r="D17" i="20"/>
  <c r="E17" i="20" s="1"/>
  <c r="E16" i="20"/>
  <c r="E14" i="20"/>
  <c r="E23" i="20" l="1"/>
  <c r="I170" i="9" s="1"/>
  <c r="E24" i="20"/>
  <c r="I169" i="9" s="1"/>
  <c r="E25" i="20"/>
  <c r="I168" i="9" s="1"/>
  <c r="J158" i="9" l="1"/>
  <c r="J145" i="9"/>
  <c r="G32" i="9"/>
  <c r="I32" i="9" s="1"/>
  <c r="J32" i="9" s="1"/>
  <c r="E102" i="9"/>
  <c r="I101" i="9"/>
  <c r="E101" i="9"/>
  <c r="I100" i="9"/>
  <c r="F159" i="9"/>
  <c r="I120" i="9"/>
  <c r="E104" i="9"/>
  <c r="J156" i="9"/>
  <c r="J157" i="9"/>
  <c r="G18" i="9"/>
  <c r="I104" i="9"/>
  <c r="J173" i="9"/>
  <c r="C20" i="9"/>
  <c r="H122" i="9"/>
  <c r="I122" i="9" s="1"/>
  <c r="H123" i="9"/>
  <c r="I123" i="9" s="1"/>
  <c r="J123" i="9" s="1"/>
  <c r="H124" i="9"/>
  <c r="I124" i="9" s="1"/>
  <c r="H121" i="9"/>
  <c r="I121" i="9" s="1"/>
  <c r="J197" i="9"/>
  <c r="F157" i="9"/>
  <c r="J142" i="9"/>
  <c r="J144" i="9"/>
  <c r="J147" i="9"/>
  <c r="J150" i="9"/>
  <c r="I99" i="9"/>
  <c r="I102" i="9"/>
  <c r="I98" i="9"/>
  <c r="J98" i="9" s="1"/>
  <c r="E99" i="9"/>
  <c r="G59" i="9" l="1"/>
  <c r="H59" i="9" s="1"/>
  <c r="J59" i="9" s="1"/>
  <c r="J139" i="9"/>
  <c r="H133" i="9"/>
  <c r="J124" i="9"/>
  <c r="J170" i="9"/>
  <c r="J168" i="9"/>
  <c r="J169" i="9"/>
  <c r="G26" i="9"/>
  <c r="I26" i="9" s="1"/>
  <c r="J26" i="9" s="1"/>
  <c r="G33" i="9"/>
  <c r="I33" i="9" s="1"/>
  <c r="J33" i="9" s="1"/>
  <c r="F99" i="9"/>
  <c r="J99" i="9" s="1"/>
  <c r="F158" i="9"/>
  <c r="F102" i="9"/>
  <c r="J102" i="9" s="1"/>
  <c r="G19" i="9"/>
  <c r="G23" i="9"/>
  <c r="I23" i="9" s="1"/>
  <c r="F104" i="9"/>
  <c r="J104" i="9" s="1"/>
  <c r="G21" i="9"/>
  <c r="F101" i="9"/>
  <c r="J101" i="9" s="1"/>
  <c r="F100" i="9"/>
  <c r="J100" i="9" s="1"/>
  <c r="F155" i="9"/>
  <c r="G60" i="9" s="1"/>
  <c r="G20" i="9"/>
  <c r="J20" i="9" s="1"/>
  <c r="J23" i="9" l="1"/>
  <c r="J106" i="9"/>
  <c r="J204" i="9" s="1"/>
  <c r="E121" i="9"/>
  <c r="J121" i="9" s="1"/>
  <c r="J19" i="9"/>
  <c r="H138" i="9"/>
  <c r="J138" i="9" s="1"/>
  <c r="J113" i="9"/>
  <c r="J112" i="9"/>
  <c r="H134" i="9"/>
  <c r="H137" i="9"/>
  <c r="J137" i="9" s="1"/>
  <c r="D136" i="9"/>
  <c r="H136" i="9" s="1"/>
  <c r="J136" i="9" s="1"/>
  <c r="J133" i="9"/>
  <c r="I21" i="9"/>
  <c r="J18" i="9"/>
  <c r="J155" i="9"/>
  <c r="I111" i="9" l="1"/>
  <c r="J111" i="9" s="1"/>
  <c r="J21" i="9"/>
  <c r="H186" i="9"/>
  <c r="J186" i="9" s="1"/>
  <c r="E120" i="9"/>
  <c r="J120" i="9" s="1"/>
  <c r="I41" i="9"/>
  <c r="I42" i="9" s="1"/>
  <c r="H141" i="9"/>
  <c r="J141" i="9" s="1"/>
  <c r="H135" i="9"/>
  <c r="J135" i="9" s="1"/>
  <c r="J187" i="9"/>
  <c r="H143" i="9"/>
  <c r="J143" i="9" s="1"/>
  <c r="H61" i="9"/>
  <c r="J61" i="9" s="1"/>
  <c r="J163" i="9"/>
  <c r="J208" i="9" s="1"/>
  <c r="H184" i="9"/>
  <c r="J184" i="9" s="1"/>
  <c r="J188" i="9"/>
  <c r="H60" i="9"/>
  <c r="J60" i="9" s="1"/>
  <c r="E122" i="9"/>
  <c r="J122" i="9" s="1"/>
  <c r="I110" i="9" l="1"/>
  <c r="J110" i="9" s="1"/>
  <c r="J41" i="9"/>
  <c r="J42" i="9" s="1"/>
  <c r="E119" i="9" s="1"/>
  <c r="J119" i="9" s="1"/>
  <c r="V7" i="28"/>
  <c r="I215" i="9"/>
  <c r="M19" i="28" s="1"/>
  <c r="J52" i="9"/>
  <c r="J207" i="9"/>
  <c r="J115" i="9" l="1"/>
  <c r="J205" i="9" s="1"/>
  <c r="I15" i="28" s="1"/>
  <c r="U15" i="28" s="1"/>
  <c r="U16" i="28" s="1"/>
  <c r="E126" i="9"/>
  <c r="J126" i="9" s="1"/>
  <c r="D11" i="9"/>
  <c r="H78" i="9" s="1"/>
  <c r="I78" i="9" s="1"/>
  <c r="J78" i="9" s="1"/>
  <c r="H79" i="9" l="1"/>
  <c r="I79" i="9" s="1"/>
  <c r="G70" i="9" s="1"/>
  <c r="J70" i="9" s="1"/>
  <c r="H80" i="9"/>
  <c r="I80" i="9" s="1"/>
  <c r="J80" i="9" s="1"/>
  <c r="H82" i="9"/>
  <c r="I82" i="9" s="1"/>
  <c r="J82" i="9" s="1"/>
  <c r="F90" i="9"/>
  <c r="J90" i="9" s="1"/>
  <c r="F93" i="9"/>
  <c r="J93" i="9" s="1"/>
  <c r="E127" i="9"/>
  <c r="J127" i="9" s="1"/>
  <c r="H77" i="9"/>
  <c r="I77" i="9" s="1"/>
  <c r="H83" i="9"/>
  <c r="I83" i="9" s="1"/>
  <c r="J83" i="9" s="1"/>
  <c r="H171" i="9"/>
  <c r="J171" i="9" s="1"/>
  <c r="F89" i="9"/>
  <c r="J89" i="9" s="1"/>
  <c r="H81" i="9"/>
  <c r="I81" i="9" s="1"/>
  <c r="J81" i="9" s="1"/>
  <c r="H84" i="9"/>
  <c r="I84" i="9" s="1"/>
  <c r="J84" i="9" s="1"/>
  <c r="G71" i="9"/>
  <c r="J71" i="9" s="1"/>
  <c r="H172" i="9"/>
  <c r="J172" i="9" s="1"/>
  <c r="H76" i="9"/>
  <c r="I76" i="9" s="1"/>
  <c r="J79" i="9" l="1"/>
  <c r="H193" i="9"/>
  <c r="J193" i="9" s="1"/>
  <c r="H195" i="9"/>
  <c r="J195" i="9" s="1"/>
  <c r="G69" i="9"/>
  <c r="J69" i="9" s="1"/>
  <c r="F92" i="9"/>
  <c r="J92" i="9" s="1"/>
  <c r="H194" i="9"/>
  <c r="J194" i="9" s="1"/>
  <c r="J77" i="9"/>
  <c r="H196" i="9"/>
  <c r="J196" i="9" s="1"/>
  <c r="G68" i="9"/>
  <c r="J68" i="9" s="1"/>
  <c r="F91" i="9"/>
  <c r="J91" i="9" s="1"/>
  <c r="J94" i="9" s="1"/>
  <c r="J203" i="9" s="1"/>
  <c r="J76" i="9"/>
  <c r="J85" i="9" l="1"/>
  <c r="J202" i="9" s="1"/>
  <c r="H15" i="28" s="1"/>
  <c r="T15" i="28" s="1"/>
  <c r="T16" i="28" s="1"/>
  <c r="J209" i="9"/>
  <c r="J72" i="9"/>
  <c r="J201" i="9" s="1"/>
  <c r="E128" i="9"/>
  <c r="J128" i="9" s="1"/>
  <c r="J129" i="9" s="1"/>
  <c r="J206" i="9" l="1"/>
  <c r="J210" i="9" l="1"/>
  <c r="K15" i="28" s="1"/>
  <c r="J211" i="9" l="1"/>
  <c r="H215" i="9" s="1"/>
  <c r="H218" i="9" l="1"/>
  <c r="J215" i="9"/>
  <c r="J219" i="9" s="1"/>
  <c r="N8" i="28" s="1"/>
  <c r="D15" i="28"/>
  <c r="Q15" i="28" s="1"/>
  <c r="H220" i="9"/>
  <c r="H221" i="9" s="1"/>
  <c r="G15" i="28" s="1"/>
  <c r="S15" i="28" s="1"/>
  <c r="H217" i="9"/>
  <c r="H227" i="9"/>
  <c r="H216" i="9"/>
  <c r="H219" i="9" l="1"/>
  <c r="F15" i="28" s="1"/>
  <c r="R15" i="28" s="1"/>
  <c r="L7" i="28"/>
  <c r="H222" i="9" l="1"/>
  <c r="G222" i="9" s="1"/>
  <c r="L15" i="28" s="1"/>
  <c r="H223" i="9"/>
  <c r="H224" i="9" l="1"/>
  <c r="G224" i="9" s="1"/>
  <c r="H225" i="9" l="1"/>
  <c r="H226" i="9"/>
  <c r="H228" i="9" l="1"/>
  <c r="H229" i="9" s="1"/>
  <c r="M15" i="28" s="1"/>
  <c r="S16" i="28"/>
  <c r="Q16" i="28"/>
  <c r="K19" i="28" s="1"/>
  <c r="R24" i="28" s="1"/>
  <c r="N19" i="28" l="1"/>
  <c r="K21" i="28"/>
  <c r="K30" i="28"/>
  <c r="K23" i="28"/>
  <c r="K24" i="28" s="1"/>
  <c r="K20" i="28"/>
  <c r="R25" i="28"/>
  <c r="R26" i="28" s="1"/>
  <c r="R27" i="28" s="1"/>
  <c r="R16" i="28" l="1"/>
  <c r="K22" i="28" s="1"/>
  <c r="K26" i="28" l="1"/>
  <c r="K25" i="28"/>
  <c r="K27" i="28" l="1"/>
  <c r="J25" i="28"/>
  <c r="J27" i="28" l="1"/>
  <c r="K29" i="28"/>
  <c r="K28" i="28"/>
  <c r="K31" i="28" l="1"/>
  <c r="R28" i="28" s="1"/>
  <c r="R29" i="28" s="1"/>
  <c r="K32" i="28" l="1"/>
</calcChain>
</file>

<file path=xl/sharedStrings.xml><?xml version="1.0" encoding="utf-8"?>
<sst xmlns="http://schemas.openxmlformats.org/spreadsheetml/2006/main" count="1026" uniqueCount="641">
  <si>
    <t>Endereço:</t>
  </si>
  <si>
    <t>Município:</t>
  </si>
  <si>
    <t>CRONOGRAMA ESTIMADO</t>
  </si>
  <si>
    <t>FONTE</t>
  </si>
  <si>
    <t>DESCRIÇÃO</t>
  </si>
  <si>
    <t>Ø" Perfuração</t>
  </si>
  <si>
    <t>Ø" Revestimento</t>
  </si>
  <si>
    <t>Metragem inicial</t>
  </si>
  <si>
    <t>Metragem final</t>
  </si>
  <si>
    <t>Metragem total</t>
  </si>
  <si>
    <t>Avanço</t>
  </si>
  <si>
    <t>Instalação do Tubo de Boca</t>
  </si>
  <si>
    <t xml:space="preserve">Manobra troca do sistema de perfuração + preparação do fluido à base de CMC </t>
  </si>
  <si>
    <t>Condicionamento da Lama</t>
  </si>
  <si>
    <t>Descida do Revestimento</t>
  </si>
  <si>
    <t>Descida e condicionamento do Pré-Filtro</t>
  </si>
  <si>
    <t>Profundidade de instalação</t>
  </si>
  <si>
    <t>Desenvolvimento - Sistema Air-lift (12 horas/dia)</t>
  </si>
  <si>
    <t>Quantidade de horas</t>
  </si>
  <si>
    <t xml:space="preserve">Perfilagem Óptica  </t>
  </si>
  <si>
    <t>Instalação e retirada do conjunto moto-bomba</t>
  </si>
  <si>
    <t>Desenvolvimento - Bomba submersa</t>
  </si>
  <si>
    <t>Desmontagem da Sonda</t>
  </si>
  <si>
    <t>ITEM</t>
  </si>
  <si>
    <t>Frete unitário</t>
  </si>
  <si>
    <t>1.1</t>
  </si>
  <si>
    <t>Planilha de Preços de frete</t>
  </si>
  <si>
    <t>1.2</t>
  </si>
  <si>
    <t>1.3</t>
  </si>
  <si>
    <t>1.4</t>
  </si>
  <si>
    <t>1.5</t>
  </si>
  <si>
    <t>1.6</t>
  </si>
  <si>
    <t>QUANTIDADE</t>
  </si>
  <si>
    <t>1.7</t>
  </si>
  <si>
    <t>1.9</t>
  </si>
  <si>
    <t>1.10</t>
  </si>
  <si>
    <t>Estadia</t>
  </si>
  <si>
    <t>1.12</t>
  </si>
  <si>
    <t>Compressor 950 pcm X 350 psi (Perfuração) - Ida e volta</t>
  </si>
  <si>
    <t>1.13</t>
  </si>
  <si>
    <t>Locavem</t>
  </si>
  <si>
    <t>Quantidade</t>
  </si>
  <si>
    <t>Pedágio/km</t>
  </si>
  <si>
    <t>Rendimento</t>
  </si>
  <si>
    <t>1.14</t>
  </si>
  <si>
    <t>Equipes - Ida e volta</t>
  </si>
  <si>
    <t>Quero Passagem</t>
  </si>
  <si>
    <t>1.15</t>
  </si>
  <si>
    <t>Veículo Strada/Montana - Ida e volta</t>
  </si>
  <si>
    <t>1.16</t>
  </si>
  <si>
    <t>Veículo Básico - Geólogo - Ida e volta</t>
  </si>
  <si>
    <t>1.17</t>
  </si>
  <si>
    <t>1.19</t>
  </si>
  <si>
    <t>Trocas de Equipes - Mês</t>
  </si>
  <si>
    <t>SUBTOTAL TRANSPORTES</t>
  </si>
  <si>
    <t>Salário/dia</t>
  </si>
  <si>
    <t>Total dia útil</t>
  </si>
  <si>
    <t>Total de dias na obra</t>
  </si>
  <si>
    <t>2.1</t>
  </si>
  <si>
    <t xml:space="preserve">Planilha HH </t>
  </si>
  <si>
    <t>2.2</t>
  </si>
  <si>
    <t>2.3</t>
  </si>
  <si>
    <t>2.4</t>
  </si>
  <si>
    <t>2.5</t>
  </si>
  <si>
    <t>2.6</t>
  </si>
  <si>
    <t>2.7</t>
  </si>
  <si>
    <t>2.8</t>
  </si>
  <si>
    <t>Equipe 01 (Sondador, Torrista, Plataformista, Auxiliar de Plataformista)</t>
  </si>
  <si>
    <t>2.9</t>
  </si>
  <si>
    <t>Equipe 02  (Sondador, Torrista, Plataformista, Auxiliar de Plataformista)</t>
  </si>
  <si>
    <t>2.10</t>
  </si>
  <si>
    <t>Equipe 03 (Sondador, Torrista, Plataformista, Auxiliar de Plataformista)</t>
  </si>
  <si>
    <t>2.11</t>
  </si>
  <si>
    <t>Equipe 04 (Sondador, Torrista, Plataformista, Auxiliar de Plataformista)</t>
  </si>
  <si>
    <t>3.1</t>
  </si>
  <si>
    <t>Alimentação Equipe</t>
  </si>
  <si>
    <t>Hospedagem Equipe (quartos duplos)</t>
  </si>
  <si>
    <t>Alimentação Profissionais de Apoio (Geólogo, Tec. Segurança, Supervisor)</t>
  </si>
  <si>
    <t>3.4</t>
  </si>
  <si>
    <t>Hospedagem Profissionais de Apoio (Geólogo, Tec. Segurança, Supervisor)</t>
  </si>
  <si>
    <t>3.5</t>
  </si>
  <si>
    <t>Água para a equipe</t>
  </si>
  <si>
    <t>VALOR UNITÁRIO</t>
  </si>
  <si>
    <t>3.6</t>
  </si>
  <si>
    <t>SUBTOTAL ALIMENTAÇÃO E HOSPEDAGEM</t>
  </si>
  <si>
    <t>4.1</t>
  </si>
  <si>
    <t xml:space="preserve">Broca de 17 1/2" Dente </t>
  </si>
  <si>
    <t>Solo/sedimento</t>
  </si>
  <si>
    <t>4.2</t>
  </si>
  <si>
    <t xml:space="preserve">Alargador de 17 1/2" x 26" </t>
  </si>
  <si>
    <t>4.3</t>
  </si>
  <si>
    <t>Martelo Numa - 12"</t>
  </si>
  <si>
    <t>Basalto</t>
  </si>
  <si>
    <t>4.4</t>
  </si>
  <si>
    <t>Bit Numa - 18"</t>
  </si>
  <si>
    <t>4.5</t>
  </si>
  <si>
    <t>Broca Tricônica Botão 17 1/2" Nova</t>
  </si>
  <si>
    <t>Broca Tricônica Dente 17 1/2" Nova</t>
  </si>
  <si>
    <t>Sedimento</t>
  </si>
  <si>
    <t>5.1</t>
  </si>
  <si>
    <t>5.2</t>
  </si>
  <si>
    <t xml:space="preserve">Gerador - iluminação </t>
  </si>
  <si>
    <t xml:space="preserve">Gerador de 55 Kva - Solda </t>
  </si>
  <si>
    <t>5.3</t>
  </si>
  <si>
    <t>5.4</t>
  </si>
  <si>
    <t xml:space="preserve">Gerador 750 KVA para Teste </t>
  </si>
  <si>
    <t>5.5</t>
  </si>
  <si>
    <t>Veículo leve (Gasolina)</t>
  </si>
  <si>
    <t>5.6</t>
  </si>
  <si>
    <t>SUBTOTAL COMBUSTÍVEIS</t>
  </si>
  <si>
    <t>UNIDADE</t>
  </si>
  <si>
    <t>6.1</t>
  </si>
  <si>
    <t>Bentonita (rendimento em m3/tonelada) - para tubo de boca</t>
  </si>
  <si>
    <t>Ton.</t>
  </si>
  <si>
    <t>6.3</t>
  </si>
  <si>
    <t>Sabão Martelo (rendimento em litros / m³)</t>
  </si>
  <si>
    <t>Balde 30 l</t>
  </si>
  <si>
    <t>6.4</t>
  </si>
  <si>
    <t>Óleo Martelo (consumo em litros / m³)</t>
  </si>
  <si>
    <t>Balde 20 l</t>
  </si>
  <si>
    <t>6.5</t>
  </si>
  <si>
    <t>kg</t>
  </si>
  <si>
    <t>Cimentação Tubos de Boca</t>
  </si>
  <si>
    <t>m³</t>
  </si>
  <si>
    <t>Hexametafosfato de sódio (Rendimento em kg/m3)</t>
  </si>
  <si>
    <t>Madeiras e ferragens para canteiro de obras</t>
  </si>
  <si>
    <t>vb</t>
  </si>
  <si>
    <t>Hipoclorito de Sódio 12% (concentração de 0,5g/l - rendimento em l/m³ )</t>
  </si>
  <si>
    <t>Bombona 30 l</t>
  </si>
  <si>
    <t>Cerquite e acessórios (kit corda, barra de cobre, materiais diversos para a obra)</t>
  </si>
  <si>
    <t>Materiais diversos para a montagem do canteiro</t>
  </si>
  <si>
    <t>Placa de Obra (2,00m x 3,00m) + 4 banners</t>
  </si>
  <si>
    <t>ART</t>
  </si>
  <si>
    <t>SUBTOTAL MATERIAIS DE CONSUMO</t>
  </si>
  <si>
    <t>7.1</t>
  </si>
  <si>
    <t>m</t>
  </si>
  <si>
    <t>Tubos Ipiranga</t>
  </si>
  <si>
    <t>7.2</t>
  </si>
  <si>
    <t>7.3</t>
  </si>
  <si>
    <t>7.4</t>
  </si>
  <si>
    <t>Aço Filtro</t>
  </si>
  <si>
    <t>TOTAL</t>
  </si>
  <si>
    <t xml:space="preserve">SCMN </t>
  </si>
  <si>
    <t>pç</t>
  </si>
  <si>
    <t>Materiais diversos (miscelânea)</t>
  </si>
  <si>
    <t>Estimado</t>
  </si>
  <si>
    <t xml:space="preserve">SUBTOTAL MATERIAIS APLICÁVEIS POÇO </t>
  </si>
  <si>
    <t>8.1</t>
  </si>
  <si>
    <t>8.2</t>
  </si>
  <si>
    <t>8.3</t>
  </si>
  <si>
    <t>8.4</t>
  </si>
  <si>
    <t>8.5</t>
  </si>
  <si>
    <t>8.6</t>
  </si>
  <si>
    <t>8.9</t>
  </si>
  <si>
    <t>8.10</t>
  </si>
  <si>
    <t>8.11</t>
  </si>
  <si>
    <t>8.12</t>
  </si>
  <si>
    <t>8.13</t>
  </si>
  <si>
    <t>8.14</t>
  </si>
  <si>
    <t>8.15</t>
  </si>
  <si>
    <t>8.16</t>
  </si>
  <si>
    <t>9.1</t>
  </si>
  <si>
    <t>Perfilagem Geofísica - Multi, Sônico e interpretação dos perfis</t>
  </si>
  <si>
    <t>9.2</t>
  </si>
  <si>
    <t xml:space="preserve">Perfilagem Geofisica - Caliper e Inclinação </t>
  </si>
  <si>
    <t>9.3</t>
  </si>
  <si>
    <t>Perfilagem Óptica</t>
  </si>
  <si>
    <t>9.4</t>
  </si>
  <si>
    <t>mês</t>
  </si>
  <si>
    <t>9.5</t>
  </si>
  <si>
    <t xml:space="preserve">Banheiro Químico - locação de 3 unidades </t>
  </si>
  <si>
    <t>dia</t>
  </si>
  <si>
    <t>9.16</t>
  </si>
  <si>
    <t>9.17</t>
  </si>
  <si>
    <t xml:space="preserve">Gerador 750 Kva para teste de vazão </t>
  </si>
  <si>
    <t>vg</t>
  </si>
  <si>
    <t>9.20</t>
  </si>
  <si>
    <t>Análise de Água (Portaria de Consolidação nº 888/21 do MS)</t>
  </si>
  <si>
    <t xml:space="preserve">Contratação de Segurança Patrimonial ( noturna; domingos e feriados: 24h) </t>
  </si>
  <si>
    <t>Locação de Veículo utilitário - Coordenador</t>
  </si>
  <si>
    <t>Planilha de veículos</t>
  </si>
  <si>
    <t xml:space="preserve">Locação de Véículo de passeio - Supervisor de Segurança </t>
  </si>
  <si>
    <t>Locação de Veículo de passeio - Geólogo</t>
  </si>
  <si>
    <t>Seguro Garantia de Contrato</t>
  </si>
  <si>
    <t>SUBTOTAL SERVIÇOS TERCEIRIZADOS</t>
  </si>
  <si>
    <t>RESUMO</t>
  </si>
  <si>
    <t>RISCO OPERACIONAL</t>
  </si>
  <si>
    <t>CÁLCULOS POÇO - FATURAMENTO INTEGRAL DH</t>
  </si>
  <si>
    <t>FATOR DE VENDA</t>
  </si>
  <si>
    <t>TOTAL PROPOSTA</t>
  </si>
  <si>
    <t>PREÇO DE VENDA</t>
  </si>
  <si>
    <t>IMPOSTOS (PIS+COFINS)</t>
  </si>
  <si>
    <t>CPRB</t>
  </si>
  <si>
    <t>IMPOSTOS (ISS) - Variável</t>
  </si>
  <si>
    <t>Desconto</t>
  </si>
  <si>
    <t>COMISSÃO</t>
  </si>
  <si>
    <t>CUSTO TOTAL (IMPOSTOS + CUSTO OPERACIONAL + COMISSÃO)</t>
  </si>
  <si>
    <t>LUCRO OPERACIONAL</t>
  </si>
  <si>
    <t>ADMINISTRAÇÃO CENTRAL</t>
  </si>
  <si>
    <t>MARGEM BRUTA DE CONTRIBUIÇÃO</t>
  </si>
  <si>
    <r>
      <t xml:space="preserve">IMPOSTOS (IRPJ) </t>
    </r>
    <r>
      <rPr>
        <b/>
        <sz val="9"/>
        <rFont val="Calibri"/>
        <family val="1"/>
        <scheme val="major"/>
      </rPr>
      <t>25%</t>
    </r>
  </si>
  <si>
    <t>Preço médio/m</t>
  </si>
  <si>
    <r>
      <t xml:space="preserve">IMPOSTOS (CSLL) </t>
    </r>
    <r>
      <rPr>
        <b/>
        <sz val="9"/>
        <rFont val="Calibri"/>
        <family val="1"/>
        <scheme val="major"/>
      </rPr>
      <t>9%</t>
    </r>
  </si>
  <si>
    <t>CUSTO FINANCEIRO - BASE 1% ao mês</t>
  </si>
  <si>
    <t>LUCRO LÍQUIDO</t>
  </si>
  <si>
    <t>RESULTADO</t>
  </si>
  <si>
    <t>Metragem Investigada</t>
  </si>
  <si>
    <t>Deslocamento</t>
  </si>
  <si>
    <t>km</t>
  </si>
  <si>
    <t xml:space="preserve">Relatório </t>
  </si>
  <si>
    <t>Disponibilidade</t>
  </si>
  <si>
    <t>Sônico</t>
  </si>
  <si>
    <t>Cáliper</t>
  </si>
  <si>
    <t xml:space="preserve">PERFIL MASTER </t>
  </si>
  <si>
    <t>Multi-Função</t>
  </si>
  <si>
    <t>FlowMeter</t>
  </si>
  <si>
    <t>Interpretação dos Perfis</t>
  </si>
  <si>
    <t>PARÂMETROS</t>
  </si>
  <si>
    <t>VALOR</t>
  </si>
  <si>
    <t>PERFILAGEM GEOFÍSICA (CÁLIPER + INCLINAÇÃO)</t>
  </si>
  <si>
    <t>PERFILAGEM ÓPTICA</t>
  </si>
  <si>
    <t>PERFILAGEM GEOFÍSICA (MULTI-FUNÇÃO + SÔNICO)</t>
  </si>
  <si>
    <t>Cliente:</t>
  </si>
  <si>
    <t>Metragem Poço:</t>
  </si>
  <si>
    <t>Deslocamento (Araraquara x Obra):</t>
  </si>
  <si>
    <t>A cada 100m, considera-se uma quantidade</t>
  </si>
  <si>
    <t>Deslocamento de Araraquara à obra (ida e volta)</t>
  </si>
  <si>
    <t>Metragem do poço</t>
  </si>
  <si>
    <t>Sempre considerar o relatório, relativo a interpretação da Perfilagem Óptica</t>
  </si>
  <si>
    <t>NOTAS</t>
  </si>
  <si>
    <t>Considerar quando houver reabertura do poço</t>
  </si>
  <si>
    <t>PROJETO DO POÇO</t>
  </si>
  <si>
    <t>CUSTEIO PERFURAÇÃO</t>
  </si>
  <si>
    <t>CARDWELL (24h) - 3 equipes 14x7</t>
  </si>
  <si>
    <t>POÇO</t>
  </si>
  <si>
    <t>N.D. (m)</t>
  </si>
  <si>
    <t>N.E. (m)</t>
  </si>
  <si>
    <t>Q (m³/h)</t>
  </si>
  <si>
    <t>S (m)</t>
  </si>
  <si>
    <t>Prof. (m)</t>
  </si>
  <si>
    <t>DESLOCAMENTOS</t>
  </si>
  <si>
    <t>Jundiaí (km)</t>
  </si>
  <si>
    <t>Araraquara (km)</t>
  </si>
  <si>
    <t>São Paulo (km)</t>
  </si>
  <si>
    <t>RotaMapas</t>
  </si>
  <si>
    <t>Base de saída dos transportes x Obra</t>
  </si>
  <si>
    <t>Locavem (compressor) x obra</t>
  </si>
  <si>
    <t>Perfil Master (perfilagem) x obra</t>
  </si>
  <si>
    <t>Galpão (DH) x obra</t>
  </si>
  <si>
    <t>DIAS (3 EQUIPES)</t>
  </si>
  <si>
    <t>OPERAÇÃO SONDA</t>
  </si>
  <si>
    <r>
      <t xml:space="preserve">CMC (rendimento </t>
    </r>
    <r>
      <rPr>
        <sz val="9"/>
        <rFont val="Calibri"/>
        <family val="2"/>
        <scheme val="minor"/>
      </rPr>
      <t>em</t>
    </r>
    <r>
      <rPr>
        <sz val="9"/>
        <color theme="1"/>
        <rFont val="Calibri"/>
        <family val="2"/>
        <scheme val="minor"/>
      </rPr>
      <t xml:space="preserve"> Kg/m3) - volume para total do poço</t>
    </r>
  </si>
  <si>
    <r>
      <t xml:space="preserve">IMPOSTOS (IRPJ) </t>
    </r>
    <r>
      <rPr>
        <b/>
        <sz val="9"/>
        <rFont val="Calibri"/>
        <family val="2"/>
        <scheme val="minor"/>
      </rPr>
      <t>25%</t>
    </r>
  </si>
  <si>
    <r>
      <t xml:space="preserve">IMPOSTOS (CSLL) </t>
    </r>
    <r>
      <rPr>
        <b/>
        <sz val="9"/>
        <rFont val="Calibri"/>
        <family val="2"/>
        <scheme val="minor"/>
      </rPr>
      <t>9%</t>
    </r>
  </si>
  <si>
    <t xml:space="preserve">DTM (mobilização e desmobilização) - cada operação em média 6 horas </t>
  </si>
  <si>
    <t xml:space="preserve">5 dias em média para instalação do canteiro </t>
  </si>
  <si>
    <r>
      <t xml:space="preserve">Perfuração Solo Sedimentos - </t>
    </r>
    <r>
      <rPr>
        <u/>
        <sz val="9"/>
        <rFont val="Calibri"/>
        <family val="2"/>
        <scheme val="minor"/>
      </rPr>
      <t>Rotativa</t>
    </r>
  </si>
  <si>
    <r>
      <t xml:space="preserve">Perfuração Basalto - </t>
    </r>
    <r>
      <rPr>
        <u/>
        <sz val="9"/>
        <rFont val="Calibri"/>
        <family val="2"/>
        <scheme val="minor"/>
      </rPr>
      <t>Rotopneumática</t>
    </r>
  </si>
  <si>
    <r>
      <t xml:space="preserve">Perfuração Basalto - </t>
    </r>
    <r>
      <rPr>
        <u/>
        <sz val="9"/>
        <rFont val="Calibri"/>
        <family val="2"/>
        <scheme val="minor"/>
      </rPr>
      <t>Rotativa</t>
    </r>
  </si>
  <si>
    <r>
      <t xml:space="preserve">Perfuração Arenito - </t>
    </r>
    <r>
      <rPr>
        <u/>
        <sz val="9"/>
        <rFont val="Calibri"/>
        <family val="2"/>
        <scheme val="minor"/>
      </rPr>
      <t>Rotativa</t>
    </r>
  </si>
  <si>
    <t xml:space="preserve">Instalação do Canteiro de Obras, Tanques de Lama, Canaletas, etc. </t>
  </si>
  <si>
    <t>Cimentação do Tubo de Boca e Cura</t>
  </si>
  <si>
    <t>Manobra troca do sistema de perfuração (broca)</t>
  </si>
  <si>
    <r>
      <t xml:space="preserve">Perfuração Arenito (REABERTURA) - </t>
    </r>
    <r>
      <rPr>
        <u/>
        <sz val="9"/>
        <rFont val="Calibri"/>
        <family val="2"/>
        <scheme val="minor"/>
      </rPr>
      <t>Rotativa</t>
    </r>
  </si>
  <si>
    <t>Perfilagem Geofísica (Cáliper + Inclinação)</t>
  </si>
  <si>
    <t>Perfilagem Geofísica (Multi-Função + Sônico)</t>
  </si>
  <si>
    <t>Dias de DTM deve ser pactuado com operação, a depender da distância de deslocamento. Considera-se em média de 3 a 5 dias.</t>
  </si>
  <si>
    <t>Metragem Total</t>
  </si>
  <si>
    <t>Em média 1,0 a 1,5 dia. Pactuar internamente ou basear em projeto, caso houver.</t>
  </si>
  <si>
    <t>Normalmente considera-se 1 dia a instalação do conjunto motobomba. Pactuar internamente ou basear em projeto, caso houver.</t>
  </si>
  <si>
    <t>Sempre pactuar a necessidade de separar em duas corridas de Perfilagem Geofísica, caso houver Reabertura.</t>
  </si>
  <si>
    <t>Considera-se avanço de 10h devido a duração/dia de funcionamento ideal do compressor.</t>
  </si>
  <si>
    <t>Sempre pactuar a necessidade de separar em duas corridas a Perfilagem Geofísica, caso houver Reabertura.</t>
  </si>
  <si>
    <t xml:space="preserve">METODOLOGIA </t>
  </si>
  <si>
    <t>1. SERVIÇOS</t>
  </si>
  <si>
    <t>1.8</t>
  </si>
  <si>
    <t>1.11</t>
  </si>
  <si>
    <t>1.20</t>
  </si>
  <si>
    <t>1.21</t>
  </si>
  <si>
    <t>1.22</t>
  </si>
  <si>
    <t>1.23</t>
  </si>
  <si>
    <t>1.24</t>
  </si>
  <si>
    <t>2. TRANSPORTES</t>
  </si>
  <si>
    <t xml:space="preserve">Qualp </t>
  </si>
  <si>
    <t>Planilha de Preços de Frete</t>
  </si>
  <si>
    <t>Cavalo Trucado</t>
  </si>
  <si>
    <t>Cavalo Toco</t>
  </si>
  <si>
    <t xml:space="preserve">Caminhão Munck </t>
  </si>
  <si>
    <t xml:space="preserve">Caminhão Truck </t>
  </si>
  <si>
    <t xml:space="preserve">Deslocamento </t>
  </si>
  <si>
    <t>Equipamento</t>
  </si>
  <si>
    <t xml:space="preserve">Município de referência </t>
  </si>
  <si>
    <t xml:space="preserve">Saída </t>
  </si>
  <si>
    <t>Normalmente utilizam-se tanto a bomba EMSCO quanto VULCAN para perfuração de poços profundos. Para poços mais rasos, apenas VULCAN.</t>
  </si>
  <si>
    <t>Mobilização</t>
  </si>
  <si>
    <t>Desmobilização</t>
  </si>
  <si>
    <t>Revestimento</t>
  </si>
  <si>
    <t>Capacidade</t>
  </si>
  <si>
    <t>2.12</t>
  </si>
  <si>
    <t>2.13</t>
  </si>
  <si>
    <t>2.14</t>
  </si>
  <si>
    <t xml:space="preserve">Filtros </t>
  </si>
  <si>
    <t>Pré-Filtro</t>
  </si>
  <si>
    <t>Ponteiras</t>
  </si>
  <si>
    <t>Compressor (Locavem)</t>
  </si>
  <si>
    <t>2.15</t>
  </si>
  <si>
    <t>LEGENDA</t>
  </si>
  <si>
    <t>DADOS</t>
  </si>
  <si>
    <t>O número de viagens das carretas pode ser alterado, conforme distância de deslocamento. Normalmente considera-se 6 viagens.</t>
  </si>
  <si>
    <t>Carreta</t>
  </si>
  <si>
    <t>Células a serem preenchidas, conforme projeto/internamente</t>
  </si>
  <si>
    <t>Km (ida e volta)</t>
  </si>
  <si>
    <t>Frete (R$/KM)</t>
  </si>
  <si>
    <t>Veículos</t>
  </si>
  <si>
    <t>2.17</t>
  </si>
  <si>
    <t>2.18</t>
  </si>
  <si>
    <t>2.19</t>
  </si>
  <si>
    <t>2.20</t>
  </si>
  <si>
    <t>2.21</t>
  </si>
  <si>
    <t>2.22</t>
  </si>
  <si>
    <t>Gasolina (R$/L)</t>
  </si>
  <si>
    <t>Gasolina - Petrobras</t>
  </si>
  <si>
    <t>Procurar valor da gasolina na região - Petrobras</t>
  </si>
  <si>
    <t>Buscar o custo da passagem de Marília x Obra (município mais próximo) e preencher na célula I64. Referenciar município na célula F64</t>
  </si>
  <si>
    <t>SUBTOTAL</t>
  </si>
  <si>
    <t>3.  MÃO DE OBRA</t>
  </si>
  <si>
    <t>3.7</t>
  </si>
  <si>
    <t>3.8</t>
  </si>
  <si>
    <t>3.9</t>
  </si>
  <si>
    <t>3.10</t>
  </si>
  <si>
    <t>3.11</t>
  </si>
  <si>
    <t>60% habitualmente, caso haja exigência do cliente de presença full-time, considerar 100%.</t>
  </si>
  <si>
    <t>Caso seja necessário trabalhar CLT (Raízen), incluir a quarta equipe.</t>
  </si>
  <si>
    <t>Função</t>
  </si>
  <si>
    <t>Presença (%)</t>
  </si>
  <si>
    <t>SUBTOTAL MÃO DE OBRA</t>
  </si>
  <si>
    <t>Viagens</t>
  </si>
  <si>
    <t>Custo Total</t>
  </si>
  <si>
    <t>Facilities</t>
  </si>
  <si>
    <t>4.  ALIMENTAÇÃO E HOSPEDAGEM</t>
  </si>
  <si>
    <t>Nº de equipes</t>
  </si>
  <si>
    <t>Nº/equipe</t>
  </si>
  <si>
    <t>Total de diárias</t>
  </si>
  <si>
    <t>Diária (R$)</t>
  </si>
  <si>
    <t>Material</t>
  </si>
  <si>
    <t>Tipo de Formação</t>
  </si>
  <si>
    <t>Metragem Inicial</t>
  </si>
  <si>
    <t>Metragem Final</t>
  </si>
  <si>
    <t>Vida Útil (m)</t>
  </si>
  <si>
    <t xml:space="preserve">Valor Peça </t>
  </si>
  <si>
    <t>Custo Metro (R$/m)</t>
  </si>
  <si>
    <t>5.7</t>
  </si>
  <si>
    <t>Nº de dias</t>
  </si>
  <si>
    <t>Consumo (km/L)</t>
  </si>
  <si>
    <t>Custo/dia</t>
  </si>
  <si>
    <t>CARDWELL - Motores Estacionários</t>
  </si>
  <si>
    <r>
      <t>Compressor 950 pcm X 350 psi (</t>
    </r>
    <r>
      <rPr>
        <u/>
        <sz val="9"/>
        <rFont val="Calibri"/>
        <family val="2"/>
        <scheme val="minor"/>
      </rPr>
      <t>Perfuração)</t>
    </r>
  </si>
  <si>
    <r>
      <t>Compressor 950 pcm X 350 psi (</t>
    </r>
    <r>
      <rPr>
        <u/>
        <sz val="9"/>
        <rFont val="Calibri"/>
        <family val="2"/>
        <scheme val="minor"/>
      </rPr>
      <t>Desenvolvimento</t>
    </r>
    <r>
      <rPr>
        <sz val="9"/>
        <rFont val="Calibri"/>
        <family val="2"/>
        <scheme val="minor"/>
      </rPr>
      <t>)</t>
    </r>
  </si>
  <si>
    <t>Diesel (R$/L)</t>
  </si>
  <si>
    <t>Valor Base para obras da Cardwell</t>
  </si>
  <si>
    <t>Barrilha Leve</t>
  </si>
  <si>
    <t>Sempre pactuar com Aldo (Químico Consultor) o quantitativo de cada material de consumo, conforme volume</t>
  </si>
  <si>
    <t>Planilha de Preços</t>
  </si>
  <si>
    <t>8.17</t>
  </si>
  <si>
    <t>Areia Itaporanga</t>
  </si>
  <si>
    <t>Valor base para obras da Cardwell</t>
  </si>
  <si>
    <t>Pré Filtro - 1,0 a 2,0 mm</t>
  </si>
  <si>
    <t>8.18</t>
  </si>
  <si>
    <t>8.19</t>
  </si>
  <si>
    <t>-</t>
  </si>
  <si>
    <t xml:space="preserve">Responsabilidades Contratante/Contratada </t>
  </si>
  <si>
    <t>PRAZO OBRA</t>
  </si>
  <si>
    <t>PRAZOS (DIAS)</t>
  </si>
  <si>
    <t>DSR - Descanso aos Domingos (Sim:1 Não:0)</t>
  </si>
  <si>
    <t>Especificação</t>
  </si>
  <si>
    <t>Volume</t>
  </si>
  <si>
    <t>Unidade</t>
  </si>
  <si>
    <t>Valor Unitário</t>
  </si>
  <si>
    <t xml:space="preserve">Especificação </t>
  </si>
  <si>
    <t>Peso/m</t>
  </si>
  <si>
    <t>Peso Total (km)</t>
  </si>
  <si>
    <t>Abastecimento de Caminhão Pipa</t>
  </si>
  <si>
    <t>Verificar a parte que ficará responsável</t>
  </si>
  <si>
    <t>Verificar a parte que ficará responsável. A qntid. de viagem baseia-se no caminhão para transporte do fornecedor tinha uma limitação de peso de 25 toneladas, então o número de viagens baseou-se no volume do poço x2, multiplicado pela densidade do fluído de 1,4 ton/m³ e dividido pelo limite de peso de 25 toneladas.</t>
  </si>
  <si>
    <t>Verificar a parte que ficará responsável. O descarte foi cobrado por quilo a parte, de forma que multiplicamos o volume pela densidade aproximada do fluido de 1,4 t/m³ e multiplicamos por mil para converter para quilos.</t>
  </si>
  <si>
    <t>Valor Base</t>
  </si>
  <si>
    <t>VENDA LÍQUIDA</t>
  </si>
  <si>
    <t>Itens direcionados ao Faturamento Direto/Preço de venda dos materiais</t>
  </si>
  <si>
    <t xml:space="preserve">Preço de venda do poço </t>
  </si>
  <si>
    <t>Total Proposta</t>
  </si>
  <si>
    <t>Incluir comissão apenas nos casos em que o vendedor for comissionado. Atualmente o único vendedor comissionado é o sr. Valdir, cuja comissão corresponde a 5%.</t>
  </si>
  <si>
    <t>Avaliar em conjunto com operações e Federico. Mínimo 10%, desejável 15%</t>
  </si>
  <si>
    <t>Considerar especificação do projeto ou internamente</t>
  </si>
  <si>
    <t>1 metro por barra de tubo, colocar ao menos mais duas barras adicionais para folga em campo e possível problema de qualidade dos tubos e roscas. Não considerar ponteiras apenas para filtros do tipo super-weld.</t>
  </si>
  <si>
    <t>Filtros do tipo super-weld não precisam de ponteira</t>
  </si>
  <si>
    <t>Coordenador de Obra</t>
  </si>
  <si>
    <t>Técnico Segurança Trabalho Jr.</t>
  </si>
  <si>
    <t>Veículo Básico - Coordenador - Ida e volta</t>
  </si>
  <si>
    <t>Encarregado de Manutenção - Eletricista</t>
  </si>
  <si>
    <t>Materias para aterramento elétrico do canteiro</t>
  </si>
  <si>
    <t>Pedido de compra 18230</t>
  </si>
  <si>
    <t>Deslocamento do Guindaste</t>
  </si>
  <si>
    <r>
      <t>Locação de Compressor 950 pcm x 350 psi (</t>
    </r>
    <r>
      <rPr>
        <u/>
        <sz val="9"/>
        <rFont val="Calibri"/>
        <family val="2"/>
        <scheme val="minor"/>
      </rPr>
      <t>perfuração</t>
    </r>
    <r>
      <rPr>
        <sz val="9"/>
        <rFont val="Calibri"/>
        <family val="2"/>
        <scheme val="minor"/>
      </rPr>
      <t xml:space="preserve">) </t>
    </r>
  </si>
  <si>
    <t>Plano de Rigging</t>
  </si>
  <si>
    <t>PerfilMaster</t>
  </si>
  <si>
    <t>Considerar PerfilMaster para poços acima de 400m</t>
  </si>
  <si>
    <t>Importante verificar o ISS de cada município com Fiscal. Para isso, pesquisar o código tributário de cada município e buscar o ISS do item lei 07.02. Caso no site da prefeitura não tenha, ligar na prefeitura do município.</t>
  </si>
  <si>
    <t>Acessórios Diversos</t>
  </si>
  <si>
    <r>
      <t xml:space="preserve">Guindaste </t>
    </r>
    <r>
      <rPr>
        <u/>
        <sz val="9"/>
        <rFont val="Calibri"/>
        <family val="2"/>
        <scheme val="minor"/>
      </rPr>
      <t>70ton</t>
    </r>
    <r>
      <rPr>
        <sz val="9"/>
        <rFont val="Calibri"/>
        <family val="2"/>
        <scheme val="minor"/>
      </rPr>
      <t xml:space="preserve"> - Mobilização - Canteiro</t>
    </r>
  </si>
  <si>
    <r>
      <t xml:space="preserve">Guindaste </t>
    </r>
    <r>
      <rPr>
        <u/>
        <sz val="9"/>
        <rFont val="Calibri"/>
        <family val="2"/>
        <scheme val="minor"/>
      </rPr>
      <t>70ton</t>
    </r>
    <r>
      <rPr>
        <sz val="9"/>
        <rFont val="Calibri"/>
        <family val="2"/>
        <scheme val="minor"/>
      </rPr>
      <t xml:space="preserve"> - Desmobilização - Canteiro</t>
    </r>
  </si>
  <si>
    <r>
      <t xml:space="preserve">Guindaste </t>
    </r>
    <r>
      <rPr>
        <u/>
        <sz val="9"/>
        <rFont val="Calibri"/>
        <family val="2"/>
        <scheme val="minor"/>
      </rPr>
      <t>30ton</t>
    </r>
    <r>
      <rPr>
        <sz val="9"/>
        <rFont val="Calibri"/>
        <family val="2"/>
        <scheme val="minor"/>
      </rPr>
      <t xml:space="preserve"> - Desmobilização - Canteiro</t>
    </r>
  </si>
  <si>
    <r>
      <t xml:space="preserve">Guindaste </t>
    </r>
    <r>
      <rPr>
        <u/>
        <sz val="9"/>
        <rFont val="Calibri"/>
        <family val="2"/>
        <scheme val="minor"/>
      </rPr>
      <t>30ton</t>
    </r>
    <r>
      <rPr>
        <sz val="9"/>
        <rFont val="Calibri"/>
        <family val="2"/>
        <scheme val="minor"/>
      </rPr>
      <t xml:space="preserve"> - Mobilização - Canteiro</t>
    </r>
  </si>
  <si>
    <r>
      <t xml:space="preserve">Guindaste </t>
    </r>
    <r>
      <rPr>
        <u/>
        <sz val="9"/>
        <rFont val="Calibri"/>
        <family val="2"/>
        <scheme val="minor"/>
      </rPr>
      <t>30ton</t>
    </r>
    <r>
      <rPr>
        <sz val="9"/>
        <rFont val="Calibri"/>
        <family val="2"/>
        <scheme val="minor"/>
      </rPr>
      <t xml:space="preserve"> - Carregamento - Galpão</t>
    </r>
  </si>
  <si>
    <r>
      <t xml:space="preserve">Guindaste </t>
    </r>
    <r>
      <rPr>
        <u/>
        <sz val="9"/>
        <rFont val="Calibri"/>
        <family val="2"/>
        <scheme val="minor"/>
      </rPr>
      <t>30ton</t>
    </r>
    <r>
      <rPr>
        <sz val="9"/>
        <rFont val="Calibri"/>
        <family val="2"/>
        <scheme val="minor"/>
      </rPr>
      <t xml:space="preserve"> - Descarregamento - Galpão</t>
    </r>
  </si>
  <si>
    <t>Transporte do Resíduo</t>
  </si>
  <si>
    <t xml:space="preserve">Descarte do Resíduo </t>
  </si>
  <si>
    <t>Verificar a parte que ficará responsável. Referência Riberpipa</t>
  </si>
  <si>
    <t>Referência Airton Custódio da Silva</t>
  </si>
  <si>
    <t>Base de saída de equipe de perfuração x Obra</t>
  </si>
  <si>
    <t>Sempre pactuar com Aldo (Químico Consultor) o quantitativo de cada material de consumo, conforme volume. Sabão/óleo utilizado apenas para o trecho utilizando o método rotopneumático/basalto</t>
  </si>
  <si>
    <t>Sempre pactuar com Aldo (Químico Consultor) o quantitativo de cada material de consumo, conforme volume. Hipoclorito sempre utilizar para desinfecção do poço</t>
  </si>
  <si>
    <t>Sempre pactuar com Aldo (Químico Consultor) o quantitativo de cada material de consumo, conforme volume. Bentonita utilizado apenas para tubo de boca e basalto</t>
  </si>
  <si>
    <t xml:space="preserve">Para o Faturamento Direto do cliente, consideramos os materiais (tubos, filtros e mão de obra para as roscas nos tubos/filtros) e o frete para o carregamento desses materiais </t>
  </si>
  <si>
    <t xml:space="preserve">Descrição </t>
  </si>
  <si>
    <t>Mark-Up</t>
  </si>
  <si>
    <t>Risco (%)</t>
  </si>
  <si>
    <t>QTD</t>
  </si>
  <si>
    <t>RESULTADO GERAL</t>
  </si>
  <si>
    <t>1.  RESUMO</t>
  </si>
  <si>
    <t>Pactuar com operações. Para 17 1/2" pode-se considerar 15 metros.</t>
  </si>
  <si>
    <t>Pactuar com operações. Para perfuração em 17 1/2" pode considerar 50 metros por dia.</t>
  </si>
  <si>
    <t>Geralmente utilizamos Rotopneumático quando o tubo de boca é instalado em profundidades "rasas". A partir de 70 metros é possível considerar o método rotativo, porém necessário pactuar com operações. Para roto, faz-se ideal considerar até 150m para não ultrapassar a efetividade da sonda. Para 18" pode-se considerar 50 metros por dia.</t>
  </si>
  <si>
    <t xml:space="preserve">Reboque Sonda CARDWELL - Cavalo Trucado    </t>
  </si>
  <si>
    <t>Reboque Bomba EMSCO - Cavalo Toco</t>
  </si>
  <si>
    <t xml:space="preserve">Bomba VULCAN - Carreta </t>
  </si>
  <si>
    <t xml:space="preserve">Acessórios e Equipamentos </t>
  </si>
  <si>
    <t xml:space="preserve">Reboque Bomba EMSCO - Cavalo Toco </t>
  </si>
  <si>
    <t xml:space="preserve">Reboque Sonda CARDWELL - Cavalo Trucado  </t>
  </si>
  <si>
    <t>Normalmente utiliza-se tanto a bomba EMSCO quanto VULCAN para perfuração de poços profundos. Para poços mais rasos, apenas VULCAN.</t>
  </si>
  <si>
    <t>O número de viagens das carretas pode ser alterado, conforme distância de deslocamento e complexidade do poço.</t>
  </si>
  <si>
    <t>São Paulo/SP</t>
  </si>
  <si>
    <t>Peso</t>
  </si>
  <si>
    <t>Frete Sorocaba-Araraquara padrão, quando filtro super-weld com rosca. Frete Sorocaba-Obra, demais filtros com ou sem rosca.</t>
  </si>
  <si>
    <t>Haverá ponteira apenas se houver rosca, exceto filtro do tipo super-weld. Frete unitário Araraquara-Sorocaba padrão = R$ 2.710,00 TRUCK</t>
  </si>
  <si>
    <t>Se o revestimento tiver rosca, considerar a saída de Araraquara. Caso não tenha rosca, o fornecedor deverá entregar o revestimento na obra. Em caso de obras que não sejam no estado de SP, verificar as condições de entrega do fornecedor.</t>
  </si>
  <si>
    <t>Fornecedor habitual Areia Itaporanga</t>
  </si>
  <si>
    <t>Sempre pactuar com Aldo (Químico Consultor) o quantitativo de cada material de consumo, conforme volume. CMC sempre utilizado para Sedimentos em trechos de produção de água</t>
  </si>
  <si>
    <t>Sempre pactuar com Aldo (Químico Consultor) o quantitativo de cada material de consumo, conforme volume. CMC/Barrilha sempre utilizado para Sedimentos  em trechos de produção de água - correção do PH</t>
  </si>
  <si>
    <t>Serviço de terraplanagem</t>
  </si>
  <si>
    <t>Serviço será considerado conforme necessidade do local/terreno da obra</t>
  </si>
  <si>
    <t>Considerar Seguro de Contrato, caso houver adiantamento da contratante e solicitação do cliente</t>
  </si>
  <si>
    <t>Custo financeiro variável de acordo com a condição de pagamento do cliente. Habitualmente adotamos 1% ao mês</t>
  </si>
  <si>
    <t>Inclinação com Tropari</t>
  </si>
  <si>
    <t>Adequar a quantidade de acordo com a integração do cliente (duração)</t>
  </si>
  <si>
    <t xml:space="preserve">Considerar especificação do projeto ou internamente. Caso o tubo for conectado por união com rosca AWWA, considerar perda de 10cm por tubo (comprimento - 0,01), sobretudo se for o caso de perfuração de poços muito profundos. O poço apresenta um saco de decantação no fundo, entre 3 e 6 metros no fundo do poço que não serão revestidos. </t>
  </si>
  <si>
    <t xml:space="preserve">Considerar especificação do projeto ou internamente. Metragem total dos tubos deverá somar a profundidade do poço.  </t>
  </si>
  <si>
    <t>(Sim:1 Não:0)</t>
  </si>
  <si>
    <t>Qualp - Cálculo de rotas com pedágio, combustível, distância e tempo/ Munck - 4 eixos</t>
  </si>
  <si>
    <t>Custo/km</t>
  </si>
  <si>
    <t>Marília/SP</t>
  </si>
  <si>
    <t>Soldador</t>
  </si>
  <si>
    <t>Total (h/dia)</t>
  </si>
  <si>
    <t>Bentonita (rendimento em m3/tonelada) - para rotativa no basalto</t>
  </si>
  <si>
    <t>Fator</t>
  </si>
  <si>
    <t>Consumo (kg/m3)</t>
  </si>
  <si>
    <t>Consumíveis para fluido de perfuração</t>
  </si>
  <si>
    <t>Considerar volume do projeto ou internamente/Se atentar nos casos que tem reabertura e que não tem - pensar na fórmula</t>
  </si>
  <si>
    <t>Veículo Básico - Supervisor de Segurança - Ida e volta</t>
  </si>
  <si>
    <t>1.25</t>
  </si>
  <si>
    <t xml:space="preserve">Teste de Vazão </t>
  </si>
  <si>
    <t>Locação de Veículo utilitário - Equipe/Sonda (2)</t>
  </si>
  <si>
    <t>Sorocaba/SP</t>
  </si>
  <si>
    <t>Araraquara/SP</t>
  </si>
  <si>
    <t>Descalvado/SP</t>
  </si>
  <si>
    <t>Jundiaí/SP</t>
  </si>
  <si>
    <t>Container (Escritório + refeitório (c/ 1 ar cond.) + almoxarifado + depósito + 2 ar condicionado)</t>
  </si>
  <si>
    <t xml:space="preserve">Considerar compressor para a perfuração apenas se houver rotopneumática. </t>
  </si>
  <si>
    <t>Locação da Retroescavadeira - Escavar tanques de lama</t>
  </si>
  <si>
    <t>FATURAMENTO DH</t>
  </si>
  <si>
    <t xml:space="preserve">Locação dos compressores - Jundiaí x Obra. Considerar 2 compressores para a perfuração apenas se houver rotopneumática. </t>
  </si>
  <si>
    <t xml:space="preserve">Cimentação da Base da Cardwell </t>
  </si>
  <si>
    <t>Valor de Base</t>
  </si>
  <si>
    <t>Tubo de 30" ou 28", calandrado, esp. 6,35mm para base da sonda</t>
  </si>
  <si>
    <t>Total (km/dia)</t>
  </si>
  <si>
    <t>Rendimento (L/h)</t>
  </si>
  <si>
    <t>Combustível (R$/L)</t>
  </si>
  <si>
    <t>Caminhão Pipa</t>
  </si>
  <si>
    <t xml:space="preserve">Vergalhões e madeiras para base da sonda </t>
  </si>
  <si>
    <t>Instalação e retirada do Air-Lift</t>
  </si>
  <si>
    <t>Considerar a metragem total do poço.</t>
  </si>
  <si>
    <t>1.18</t>
  </si>
  <si>
    <t xml:space="preserve">Em média 2 bags de pré-filtro por hora </t>
  </si>
  <si>
    <t>Unidade da Depreciação</t>
  </si>
  <si>
    <t>Valor</t>
  </si>
  <si>
    <t>Custo/unidade de depreciação</t>
  </si>
  <si>
    <t>Quantitadade a Depreciar</t>
  </si>
  <si>
    <t>instalação</t>
  </si>
  <si>
    <t>Compressor 1200 pcm x 435 psi</t>
  </si>
  <si>
    <t>Caminhão Munck</t>
  </si>
  <si>
    <t>8.20</t>
  </si>
  <si>
    <t>7.5</t>
  </si>
  <si>
    <t>7.6</t>
  </si>
  <si>
    <t>7.7</t>
  </si>
  <si>
    <t>7.8</t>
  </si>
  <si>
    <t>7.9</t>
  </si>
  <si>
    <t>7.10</t>
  </si>
  <si>
    <t>9.21</t>
  </si>
  <si>
    <t>Risco (R$)</t>
  </si>
  <si>
    <t>Desconto (%)</t>
  </si>
  <si>
    <t>Preço de Venda (R$)</t>
  </si>
  <si>
    <t>Receita Líquida (R$)</t>
  </si>
  <si>
    <t>Custo Total (R$)</t>
  </si>
  <si>
    <t>Custo M.O (R$)</t>
  </si>
  <si>
    <t>Margem Operacional (%)</t>
  </si>
  <si>
    <t>Margem líquida (%)</t>
  </si>
  <si>
    <t xml:space="preserve">TABELA DE PREÇOS (2025) </t>
  </si>
  <si>
    <t>PREÇO METRO (R$)</t>
  </si>
  <si>
    <t>Bomba para teste de vazão (200 M³/H A 180 MCA)</t>
  </si>
  <si>
    <t>Painel de comando para teste de vazão (ATÉ 200HP)</t>
  </si>
  <si>
    <t>Tubulação edutora 6"</t>
  </si>
  <si>
    <t>Campinas(km)</t>
  </si>
  <si>
    <t>Campinas/SP</t>
  </si>
  <si>
    <t>Usinagem - DH</t>
  </si>
  <si>
    <t>Vb</t>
  </si>
  <si>
    <t>Campinas (km)</t>
  </si>
  <si>
    <t>Geólogo I</t>
  </si>
  <si>
    <t>FAT. DIRETO</t>
  </si>
  <si>
    <t>0 - NÃO</t>
  </si>
  <si>
    <t>1 - SIM</t>
  </si>
  <si>
    <t>Perfuração Cardwell</t>
  </si>
  <si>
    <t>Venda Total (R$)</t>
  </si>
  <si>
    <t xml:space="preserve"> Receita Líquida (R$)</t>
  </si>
  <si>
    <t>Ribeirão Bonito (km)</t>
  </si>
  <si>
    <t>FAT. DIRETO SERV. + MATERIAIS</t>
  </si>
  <si>
    <t>Depreciação Equipamentos (R$)</t>
  </si>
  <si>
    <t>SUBTOTAL DEPRECIAÇÃO FERRAMENTAS</t>
  </si>
  <si>
    <t>SUBTOTAL DEPRECIAÇÃO EQUIPAMENTOS</t>
  </si>
  <si>
    <t>6.  DEPRECIAÇÃO - EQUIPAMENTOS/BROCAS/BITS/ALARGADORES</t>
  </si>
  <si>
    <t>6.2</t>
  </si>
  <si>
    <t>7.  COMBUSTÍVEIS</t>
  </si>
  <si>
    <t>8.  MATERIAIS DE CONSUMO</t>
  </si>
  <si>
    <t>9.  MATERIAIS APLICÁVEIS</t>
  </si>
  <si>
    <t>10.  SERVIÇOS TERCEIRIZADOS</t>
  </si>
  <si>
    <t>10.1</t>
  </si>
  <si>
    <t>10.2</t>
  </si>
  <si>
    <t>10.3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</si>
  <si>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</si>
  <si>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</si>
  <si>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</si>
  <si>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</si>
  <si>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</si>
  <si>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</si>
  <si>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</si>
  <si>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</si>
  <si>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</si>
  <si>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</si>
  <si>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</si>
  <si>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</si>
  <si>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</si>
  <si>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</si>
  <si>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</si>
  <si>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</si>
  <si>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</si>
  <si>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</si>
  <si>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</si>
  <si>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</si>
  <si>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</si>
  <si>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</si>
  <si>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10.33</t>
  </si>
  <si>
    <t>10.34</t>
  </si>
  <si>
    <t>10.35</t>
  </si>
  <si>
    <t>10.36</t>
  </si>
  <si>
    <t>10.39</t>
  </si>
  <si>
    <t>5.  DEPRECIAÇÃO - FERRAMENTAS</t>
  </si>
  <si>
    <t>PLANILHA BASE PARCEIROS 2025</t>
  </si>
  <si>
    <t>OLHO NO POÇO PERFILAGEM ÓTICA E DIAGNÓSTICOS DE POÇOS ARTESIANOS LTDA</t>
  </si>
  <si>
    <t>Rua Dr Gualter Nunes, Nº 154</t>
  </si>
  <si>
    <t>Bairro: Chacara Junqueira, Tatuí-SP</t>
  </si>
  <si>
    <t>CEP 18.271-580</t>
  </si>
  <si>
    <t>NOME DO CLIENTE</t>
  </si>
  <si>
    <t>DH Perfurações</t>
  </si>
  <si>
    <t>DATA DO PEDIDO</t>
  </si>
  <si>
    <t>NÚMERO DO PEDIDO</t>
  </si>
  <si>
    <t>TELEFONE CLIENTE</t>
  </si>
  <si>
    <t>E-MAIL DO CLIENTE</t>
  </si>
  <si>
    <t>DATA DE INÍCIO ESPERADA</t>
  </si>
  <si>
    <t>DATA DE TÉRMINO ESPERADA</t>
  </si>
  <si>
    <t>LOCAL DE TRABALHO</t>
  </si>
  <si>
    <t>DESCRIÇÃO DO TRABALHO</t>
  </si>
  <si>
    <t xml:space="preserve">QUANTIDADE </t>
  </si>
  <si>
    <t>KM rodado (considerando saida de Tatuí/ SP)</t>
  </si>
  <si>
    <t xml:space="preserve">$2.35 </t>
  </si>
  <si>
    <t xml:space="preserve"> $-   </t>
  </si>
  <si>
    <t>Perfilagem Ótica até 400 m (Valor unitário por metro)</t>
  </si>
  <si>
    <t xml:space="preserve">$13.00 </t>
  </si>
  <si>
    <t>Perfilagem Ótica de 400 a 600 m (Valor unitário por metro)</t>
  </si>
  <si>
    <t xml:space="preserve">$19.50 </t>
  </si>
  <si>
    <t>Relatório simplificado c/ imagens e posições (até 300 metros)</t>
  </si>
  <si>
    <t xml:space="preserve">$600.00 </t>
  </si>
  <si>
    <t>Relatório simplificado c/ imagens e posições (300 à 400 metros)</t>
  </si>
  <si>
    <t xml:space="preserve">$900.00 </t>
  </si>
  <si>
    <t>Relatório simplificado c/ imagens e posições (400 à 600 metros)</t>
  </si>
  <si>
    <t xml:space="preserve">$1,200.00 </t>
  </si>
  <si>
    <t>Relatório detalhado c/ avaliação estrutural (até 400 metros)</t>
  </si>
  <si>
    <t xml:space="preserve">$1,900.00 </t>
  </si>
  <si>
    <t>Relatório detalhado c/ avaliação estrutural (400 à 600 metros)</t>
  </si>
  <si>
    <t xml:space="preserve">$2,100.00 </t>
  </si>
  <si>
    <t>Diária (disponibilidade para dia trabalhado)</t>
  </si>
  <si>
    <t xml:space="preserve">$990.00 </t>
  </si>
  <si>
    <t>Diária (deslocamento para viagem apena. Considerar quando deslocamento total superior a 500 km)</t>
  </si>
  <si>
    <t xml:space="preserve">$1,250.00 </t>
  </si>
  <si>
    <t>Taxa de ART</t>
  </si>
  <si>
    <t xml:space="preserve">$120.00 </t>
  </si>
  <si>
    <t>Perfil Construtivo</t>
  </si>
  <si>
    <t xml:space="preserve">$400.00 </t>
  </si>
  <si>
    <t>Pernoite (Considerar quando deslocamento total superior a 500 km)</t>
  </si>
  <si>
    <t xml:space="preserve">$350.00 </t>
  </si>
  <si>
    <t>Imprevistos e Operacional</t>
  </si>
  <si>
    <t xml:space="preserve">$-   </t>
  </si>
  <si>
    <t>TOTAL MÃO DE OBRA</t>
  </si>
  <si>
    <t>ISS Adotado</t>
  </si>
  <si>
    <t>BASE DE CÁLCULO REDUZIDA</t>
  </si>
  <si>
    <t>TOTAL ISS REDUZIDO</t>
  </si>
  <si>
    <t>ECONOMIA TOTAL</t>
  </si>
  <si>
    <t>% SOBRE RECEITA LIQUIDA</t>
  </si>
  <si>
    <t xml:space="preserve">LUCRO LÍQUIDO + ECONOMIA </t>
  </si>
  <si>
    <t>% LUCRO LÍQUIDO</t>
  </si>
  <si>
    <t>PERFURAÇÃO</t>
  </si>
  <si>
    <t>SERVIÇOS</t>
  </si>
  <si>
    <t>SANEPAR</t>
  </si>
  <si>
    <t>Cornélio Procópio/PR</t>
  </si>
  <si>
    <t>Underreamer 20" - Reabertura</t>
  </si>
  <si>
    <t>Tubo de Aço Preto, com costura, SCH20 20"  (esp.9,53mm) - União Solda</t>
  </si>
  <si>
    <t>Tubo de Aço Preto, com costura, SCH30 14"  (esp.9,53mm) - União Solda</t>
  </si>
  <si>
    <t>Tubo de Aço Preto, com costura, SCH40 10"  (esp.9,27mm) - União Solda</t>
  </si>
  <si>
    <t>Filtro Espiralado Hiper Reforçado, Aço Inox, 8" (abert. 0,5mm)</t>
  </si>
  <si>
    <t>Tampa Cega - 14"</t>
  </si>
  <si>
    <t>Rua dos Expedicionários S/N</t>
  </si>
  <si>
    <t>Tubo de Inox, com costura, SCH40 8"  - União Solda</t>
  </si>
  <si>
    <t xml:space="preserve">Valor de referência </t>
  </si>
  <si>
    <t>Solicitado a Núbia confirmar na prefeitura a aliquota para o código 7.02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</si>
</sst>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-2]* #,##0.00_);_([$€-2]* \(#,##0.00\);_([$€-2]* &quot;-&quot;??_)"/>
    <numFmt numFmtId="166" formatCode="_-[$$-409]* #,##0.00_ ;_-[$$-409]* \-#,##0.00\ ;_-[$$-409]* &quot;-&quot;??_ ;_-@_ "/>
    <numFmt numFmtId="167" formatCode="0.0"/>
    <numFmt numFmtId="168" formatCode="&quot;R$&quot;\ #,##0.00"/>
    <numFmt numFmtId="169" formatCode="0.000"/>
  </numFmts>
  <fonts count="5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1"/>
      <scheme val="major"/>
    </font>
    <font>
      <b/>
      <sz val="9"/>
      <name val="Calibri"/>
      <family val="1"/>
      <scheme val="major"/>
    </font>
    <font>
      <b/>
      <sz val="9"/>
      <color rgb="FFFF0000"/>
      <name val="Calibri"/>
      <family val="1"/>
      <scheme val="major"/>
    </font>
    <font>
      <sz val="11"/>
      <name val="Calibri"/>
      <family val="1"/>
      <scheme val="major"/>
    </font>
    <font>
      <b/>
      <sz val="11"/>
      <name val="Calibri"/>
      <family val="1"/>
      <scheme val="major"/>
    </font>
    <font>
      <sz val="10"/>
      <name val="Arial"/>
      <family val="2"/>
    </font>
    <font>
      <sz val="9"/>
      <color rgb="FFFF0000"/>
      <name val="Calibri"/>
      <family val="1"/>
      <scheme val="major"/>
    </font>
    <font>
      <sz val="8"/>
      <name val="Arial"/>
      <family val="2"/>
    </font>
    <font>
      <u/>
      <sz val="10"/>
      <color indexed="12"/>
      <name val="Arial"/>
      <family val="2"/>
    </font>
    <font>
      <b/>
      <sz val="9"/>
      <name val="Calibri"/>
      <family val="2"/>
      <scheme val="major"/>
    </font>
    <font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8"/>
      <name val="Arial"/>
      <family val="2"/>
    </font>
    <font>
      <b/>
      <sz val="16"/>
      <name val="Calibri"/>
      <family val="1"/>
      <scheme val="maj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u/>
      <sz val="9"/>
      <name val="Calibri"/>
      <family val="2"/>
      <scheme val="minor"/>
    </font>
    <font>
      <sz val="9"/>
      <color rgb="FFFF0000"/>
      <name val="Segoe UI"/>
      <family val="2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rial"/>
      <family val="2"/>
    </font>
    <font>
      <b/>
      <sz val="12"/>
      <color rgb="FFFF0000"/>
      <name val="Calibri"/>
      <family val="2"/>
      <scheme val="minor"/>
    </font>
    <font>
      <b/>
      <sz val="9"/>
      <color rgb="FFFF0000"/>
      <name val="Calibri"/>
      <family val="2"/>
      <scheme val="major"/>
    </font>
    <font>
      <sz val="9"/>
      <name val="Calibri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9"/>
      <name val="Arial"/>
      <family val="2"/>
    </font>
    <font>
      <sz val="12"/>
      <color rgb="FF000000"/>
      <name val="Corbel"/>
      <family val="2"/>
    </font>
    <font>
      <b/>
      <sz val="20"/>
      <color rgb="FF808080"/>
      <name val="Century Gothic"/>
      <family val="1"/>
    </font>
    <font>
      <b/>
      <sz val="10"/>
      <color rgb="FF2F75B5"/>
      <name val="Century Gothic"/>
      <family val="1"/>
    </font>
    <font>
      <b/>
      <sz val="20"/>
      <color rgb="FFA5A5A5"/>
      <name val="Century Gothic"/>
      <family val="1"/>
    </font>
    <font>
      <sz val="12"/>
      <color rgb="FF000000"/>
      <name val="Calibri"/>
      <family val="2"/>
    </font>
    <font>
      <b/>
      <sz val="9"/>
      <color rgb="FF000000"/>
      <name val="Century Gothic"/>
      <family val="1"/>
    </font>
    <font>
      <sz val="10"/>
      <color rgb="FF000000"/>
      <name val="Calibri"/>
      <family val="2"/>
    </font>
    <font>
      <sz val="9"/>
      <color rgb="FF000000"/>
      <name val="Century Gothic"/>
      <family val="1"/>
    </font>
    <font>
      <sz val="10"/>
      <color rgb="FF525252"/>
      <name val="Century Gothic"/>
      <family val="1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rgb="FFFFFFFF"/>
      <name val="Century Gothic"/>
      <family val="1"/>
    </font>
    <font>
      <b/>
      <sz val="9"/>
      <color rgb="FFFFFFFF"/>
      <name val="Century Gothic"/>
      <family val="1"/>
    </font>
    <font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A5A5A5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222B35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333F4F"/>
        <bgColor rgb="FF000000"/>
      </patternFill>
    </fill>
    <fill>
      <patternFill patternType="solid">
        <fgColor rgb="FFEAEEF3"/>
        <bgColor rgb="FF000000"/>
      </patternFill>
    </fill>
    <fill>
      <patternFill patternType="darkDown">
        <fgColor rgb="FF44546A"/>
        <bgColor rgb="FF333F4F"/>
      </patternFill>
    </fill>
    <fill>
      <patternFill patternType="solid">
        <fgColor rgb="FFD6DCE4"/>
        <bgColor rgb="FF000000"/>
      </patternFill>
    </fill>
  </fills>
  <borders count="1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double">
        <color rgb="FF3F3F3F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rgb="FF3F3F3F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0" tint="-0.249977111117893"/>
      </right>
      <top/>
      <bottom/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165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4" fillId="0" borderId="0"/>
    <xf numFmtId="0" fontId="13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5" fillId="0" borderId="0"/>
    <xf numFmtId="0" fontId="32" fillId="8" borderId="51" applyNumberFormat="0" applyAlignment="0" applyProtection="0"/>
    <xf numFmtId="0" fontId="2" fillId="0" borderId="0"/>
    <xf numFmtId="4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9" fillId="11" borderId="0" applyNumberFormat="0" applyBorder="0" applyAlignment="0" applyProtection="0"/>
    <xf numFmtId="0" fontId="40" fillId="12" borderId="0" applyNumberFormat="0" applyBorder="0" applyAlignment="0" applyProtection="0"/>
    <xf numFmtId="0" fontId="41" fillId="13" borderId="0" applyNumberFormat="0" applyBorder="0" applyAlignment="0" applyProtection="0"/>
  </cellStyleXfs>
  <cellXfs count="601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4" fontId="6" fillId="0" borderId="0" xfId="0" applyNumberFormat="1" applyFont="1" applyAlignment="1">
      <alignment vertical="center"/>
    </xf>
    <xf numFmtId="0" fontId="15" fillId="0" borderId="0" xfId="17"/>
    <xf numFmtId="0" fontId="15" fillId="4" borderId="0" xfId="17" applyFill="1"/>
    <xf numFmtId="0" fontId="4" fillId="4" borderId="0" xfId="2" applyFill="1"/>
    <xf numFmtId="0" fontId="4" fillId="4" borderId="0" xfId="2" applyFill="1" applyAlignment="1">
      <alignment horizontal="center"/>
    </xf>
    <xf numFmtId="0" fontId="17" fillId="3" borderId="0" xfId="17" applyFont="1" applyFill="1" applyAlignment="1">
      <alignment horizontal="center"/>
    </xf>
    <xf numFmtId="0" fontId="15" fillId="2" borderId="0" xfId="17" applyFill="1"/>
    <xf numFmtId="0" fontId="0" fillId="4" borderId="0" xfId="0" applyFill="1"/>
    <xf numFmtId="0" fontId="9" fillId="2" borderId="1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/>
    <xf numFmtId="0" fontId="5" fillId="4" borderId="0" xfId="0" applyFont="1" applyFill="1"/>
    <xf numFmtId="0" fontId="9" fillId="4" borderId="1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4" borderId="0" xfId="0" applyFont="1" applyFill="1"/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4" fontId="5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4" fontId="5" fillId="4" borderId="0" xfId="0" applyNumberFormat="1" applyFont="1" applyFill="1" applyAlignment="1">
      <alignment horizontal="right" vertical="center"/>
    </xf>
    <xf numFmtId="0" fontId="6" fillId="4" borderId="0" xfId="0" applyFont="1" applyFill="1"/>
    <xf numFmtId="4" fontId="6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 shrinkToFit="1"/>
    </xf>
    <xf numFmtId="0" fontId="22" fillId="4" borderId="0" xfId="0" applyFont="1" applyFill="1" applyAlignment="1">
      <alignment horizontal="center" vertical="center"/>
    </xf>
    <xf numFmtId="0" fontId="24" fillId="4" borderId="0" xfId="0" applyFont="1" applyFill="1"/>
    <xf numFmtId="0" fontId="22" fillId="0" borderId="0" xfId="0" applyFont="1" applyAlignment="1">
      <alignment horizontal="center" vertical="center"/>
    </xf>
    <xf numFmtId="0" fontId="25" fillId="4" borderId="0" xfId="0" applyFont="1" applyFill="1" applyAlignment="1">
      <alignment horizontal="right" vertical="center"/>
    </xf>
    <xf numFmtId="0" fontId="24" fillId="4" borderId="1" xfId="0" applyFont="1" applyFill="1" applyBorder="1" applyAlignment="1">
      <alignment horizontal="center" vertical="center"/>
    </xf>
    <xf numFmtId="2" fontId="24" fillId="4" borderId="1" xfId="0" applyNumberFormat="1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vertical="center"/>
    </xf>
    <xf numFmtId="0" fontId="24" fillId="4" borderId="11" xfId="0" applyFont="1" applyFill="1" applyBorder="1"/>
    <xf numFmtId="0" fontId="24" fillId="4" borderId="0" xfId="0" applyFont="1" applyFill="1" applyAlignment="1">
      <alignment horizontal="left" vertical="center" shrinkToFit="1"/>
    </xf>
    <xf numFmtId="0" fontId="24" fillId="4" borderId="16" xfId="0" applyFont="1" applyFill="1" applyBorder="1" applyAlignment="1">
      <alignment horizontal="left" vertical="center" shrinkToFit="1"/>
    </xf>
    <xf numFmtId="0" fontId="23" fillId="4" borderId="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9" fontId="24" fillId="4" borderId="1" xfId="6" applyFont="1" applyFill="1" applyBorder="1" applyAlignment="1">
      <alignment horizontal="center" vertical="center"/>
    </xf>
    <xf numFmtId="164" fontId="24" fillId="4" borderId="5" xfId="3" applyFont="1" applyFill="1" applyBorder="1" applyAlignment="1">
      <alignment vertical="center"/>
    </xf>
    <xf numFmtId="0" fontId="23" fillId="4" borderId="1" xfId="0" applyFont="1" applyFill="1" applyBorder="1" applyAlignment="1">
      <alignment horizontal="center" vertical="center" wrapText="1"/>
    </xf>
    <xf numFmtId="4" fontId="24" fillId="4" borderId="1" xfId="0" applyNumberFormat="1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left" vertical="center"/>
    </xf>
    <xf numFmtId="0" fontId="24" fillId="4" borderId="5" xfId="0" applyFont="1" applyFill="1" applyBorder="1" applyAlignment="1">
      <alignment horizontal="left" vertical="center"/>
    </xf>
    <xf numFmtId="2" fontId="18" fillId="4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vertical="center"/>
    </xf>
    <xf numFmtId="4" fontId="24" fillId="4" borderId="1" xfId="3" applyNumberFormat="1" applyFont="1" applyFill="1" applyBorder="1" applyAlignment="1">
      <alignment horizontal="center" vertical="center"/>
    </xf>
    <xf numFmtId="0" fontId="24" fillId="4" borderId="1" xfId="3" applyNumberFormat="1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 shrinkToFit="1"/>
    </xf>
    <xf numFmtId="4" fontId="24" fillId="4" borderId="23" xfId="0" applyNumberFormat="1" applyFont="1" applyFill="1" applyBorder="1" applyAlignment="1">
      <alignment horizontal="center" vertical="center" shrinkToFit="1"/>
    </xf>
    <xf numFmtId="4" fontId="24" fillId="4" borderId="24" xfId="0" applyNumberFormat="1" applyFont="1" applyFill="1" applyBorder="1" applyAlignment="1">
      <alignment horizontal="center" vertical="center" shrinkToFit="1"/>
    </xf>
    <xf numFmtId="0" fontId="24" fillId="4" borderId="23" xfId="0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vertical="center"/>
    </xf>
    <xf numFmtId="2" fontId="24" fillId="5" borderId="23" xfId="0" applyNumberFormat="1" applyFont="1" applyFill="1" applyBorder="1" applyAlignment="1">
      <alignment horizontal="center" vertical="center"/>
    </xf>
    <xf numFmtId="12" fontId="24" fillId="5" borderId="23" xfId="0" applyNumberFormat="1" applyFont="1" applyFill="1" applyBorder="1" applyAlignment="1">
      <alignment horizontal="center" vertical="center"/>
    </xf>
    <xf numFmtId="0" fontId="25" fillId="3" borderId="22" xfId="0" applyFont="1" applyFill="1" applyBorder="1" applyAlignment="1">
      <alignment horizontal="center" vertical="center"/>
    </xf>
    <xf numFmtId="0" fontId="24" fillId="4" borderId="28" xfId="0" applyFont="1" applyFill="1" applyBorder="1" applyAlignment="1">
      <alignment horizontal="left" vertical="center"/>
    </xf>
    <xf numFmtId="0" fontId="24" fillId="4" borderId="28" xfId="0" applyFont="1" applyFill="1" applyBorder="1" applyAlignment="1">
      <alignment vertical="center"/>
    </xf>
    <xf numFmtId="4" fontId="26" fillId="4" borderId="0" xfId="0" applyNumberFormat="1" applyFont="1" applyFill="1" applyAlignment="1">
      <alignment vertical="center"/>
    </xf>
    <xf numFmtId="0" fontId="23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vertical="center"/>
    </xf>
    <xf numFmtId="0" fontId="22" fillId="6" borderId="34" xfId="0" applyFont="1" applyFill="1" applyBorder="1" applyAlignment="1">
      <alignment vertical="center"/>
    </xf>
    <xf numFmtId="0" fontId="9" fillId="5" borderId="36" xfId="0" applyFont="1" applyFill="1" applyBorder="1" applyAlignment="1">
      <alignment horizontal="center" vertical="center"/>
    </xf>
    <xf numFmtId="0" fontId="23" fillId="4" borderId="36" xfId="0" applyFont="1" applyFill="1" applyBorder="1" applyAlignment="1">
      <alignment horizontal="center" vertical="center"/>
    </xf>
    <xf numFmtId="0" fontId="24" fillId="4" borderId="38" xfId="0" applyFont="1" applyFill="1" applyBorder="1" applyAlignment="1">
      <alignment horizontal="center" vertical="center"/>
    </xf>
    <xf numFmtId="168" fontId="23" fillId="4" borderId="3" xfId="3" applyNumberFormat="1" applyFont="1" applyFill="1" applyBorder="1" applyAlignment="1">
      <alignment horizontal="center" vertical="center"/>
    </xf>
    <xf numFmtId="2" fontId="24" fillId="4" borderId="1" xfId="3" applyNumberFormat="1" applyFont="1" applyFill="1" applyBorder="1" applyAlignment="1">
      <alignment horizontal="center" vertical="center"/>
    </xf>
    <xf numFmtId="168" fontId="23" fillId="4" borderId="3" xfId="0" applyNumberFormat="1" applyFont="1" applyFill="1" applyBorder="1" applyAlignment="1">
      <alignment horizontal="center" vertical="center"/>
    </xf>
    <xf numFmtId="168" fontId="23" fillId="4" borderId="41" xfId="3" applyNumberFormat="1" applyFont="1" applyFill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167" fontId="24" fillId="4" borderId="23" xfId="0" applyNumberFormat="1" applyFont="1" applyFill="1" applyBorder="1" applyAlignment="1">
      <alignment horizontal="center" vertical="center"/>
    </xf>
    <xf numFmtId="168" fontId="24" fillId="5" borderId="23" xfId="0" applyNumberFormat="1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left" vertical="center"/>
    </xf>
    <xf numFmtId="168" fontId="24" fillId="5" borderId="23" xfId="3" applyNumberFormat="1" applyFont="1" applyFill="1" applyBorder="1" applyAlignment="1">
      <alignment horizontal="center" vertical="center"/>
    </xf>
    <xf numFmtId="167" fontId="19" fillId="5" borderId="23" xfId="0" applyNumberFormat="1" applyFont="1" applyFill="1" applyBorder="1" applyAlignment="1">
      <alignment horizontal="center" vertical="center"/>
    </xf>
    <xf numFmtId="167" fontId="24" fillId="5" borderId="23" xfId="0" applyNumberFormat="1" applyFont="1" applyFill="1" applyBorder="1" applyAlignment="1">
      <alignment horizontal="center" vertical="center"/>
    </xf>
    <xf numFmtId="168" fontId="24" fillId="4" borderId="23" xfId="0" applyNumberFormat="1" applyFont="1" applyFill="1" applyBorder="1" applyAlignment="1">
      <alignment horizontal="center" vertical="center"/>
    </xf>
    <xf numFmtId="167" fontId="23" fillId="4" borderId="23" xfId="0" applyNumberFormat="1" applyFont="1" applyFill="1" applyBorder="1" applyAlignment="1">
      <alignment horizontal="center" vertical="center"/>
    </xf>
    <xf numFmtId="2" fontId="24" fillId="4" borderId="23" xfId="0" applyNumberFormat="1" applyFont="1" applyFill="1" applyBorder="1" applyAlignment="1">
      <alignment horizontal="center" vertical="center"/>
    </xf>
    <xf numFmtId="2" fontId="24" fillId="5" borderId="23" xfId="3" applyNumberFormat="1" applyFont="1" applyFill="1" applyBorder="1" applyAlignment="1">
      <alignment horizontal="center" vertical="center"/>
    </xf>
    <xf numFmtId="164" fontId="23" fillId="4" borderId="23" xfId="3" applyFont="1" applyFill="1" applyBorder="1" applyAlignment="1">
      <alignment horizontal="center" vertical="center"/>
    </xf>
    <xf numFmtId="168" fontId="24" fillId="4" borderId="23" xfId="3" applyNumberFormat="1" applyFont="1" applyFill="1" applyBorder="1" applyAlignment="1">
      <alignment horizontal="center" vertical="center"/>
    </xf>
    <xf numFmtId="2" fontId="24" fillId="4" borderId="23" xfId="3" applyNumberFormat="1" applyFont="1" applyFill="1" applyBorder="1" applyAlignment="1">
      <alignment horizontal="center"/>
    </xf>
    <xf numFmtId="2" fontId="24" fillId="4" borderId="23" xfId="3" applyNumberFormat="1" applyFont="1" applyFill="1" applyBorder="1" applyAlignment="1">
      <alignment horizontal="center" vertical="center"/>
    </xf>
    <xf numFmtId="164" fontId="24" fillId="4" borderId="23" xfId="3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168" fontId="23" fillId="4" borderId="30" xfId="3" applyNumberFormat="1" applyFont="1" applyFill="1" applyBorder="1" applyAlignment="1">
      <alignment horizontal="center" vertical="center"/>
    </xf>
    <xf numFmtId="168" fontId="23" fillId="4" borderId="30" xfId="0" applyNumberFormat="1" applyFont="1" applyFill="1" applyBorder="1" applyAlignment="1">
      <alignment horizontal="center" vertical="center"/>
    </xf>
    <xf numFmtId="168" fontId="23" fillId="3" borderId="32" xfId="0" applyNumberFormat="1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left" vertical="center"/>
    </xf>
    <xf numFmtId="0" fontId="23" fillId="0" borderId="38" xfId="0" applyFont="1" applyBorder="1" applyAlignment="1">
      <alignment horizontal="center" vertical="center"/>
    </xf>
    <xf numFmtId="0" fontId="23" fillId="3" borderId="45" xfId="0" applyFont="1" applyFill="1" applyBorder="1" applyAlignment="1">
      <alignment horizontal="center" vertical="center"/>
    </xf>
    <xf numFmtId="0" fontId="23" fillId="3" borderId="47" xfId="0" applyFont="1" applyFill="1" applyBorder="1" applyAlignment="1">
      <alignment horizontal="center" vertical="center"/>
    </xf>
    <xf numFmtId="0" fontId="23" fillId="3" borderId="46" xfId="0" applyFont="1" applyFill="1" applyBorder="1" applyAlignment="1">
      <alignment horizontal="center" vertical="center"/>
    </xf>
    <xf numFmtId="0" fontId="23" fillId="3" borderId="49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vertical="center"/>
    </xf>
    <xf numFmtId="0" fontId="23" fillId="0" borderId="30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168" fontId="24" fillId="4" borderId="1" xfId="3" applyNumberFormat="1" applyFont="1" applyFill="1" applyBorder="1" applyAlignment="1">
      <alignment horizontal="center" vertical="center"/>
    </xf>
    <xf numFmtId="9" fontId="24" fillId="5" borderId="1" xfId="6" applyFont="1" applyFill="1" applyBorder="1" applyAlignment="1">
      <alignment horizontal="center" vertical="center"/>
    </xf>
    <xf numFmtId="0" fontId="24" fillId="5" borderId="0" xfId="0" applyFont="1" applyFill="1" applyAlignment="1">
      <alignment horizontal="left" vertical="center"/>
    </xf>
    <xf numFmtId="0" fontId="24" fillId="4" borderId="7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 wrapText="1"/>
    </xf>
    <xf numFmtId="168" fontId="23" fillId="3" borderId="39" xfId="3" applyNumberFormat="1" applyFont="1" applyFill="1" applyBorder="1" applyAlignment="1">
      <alignment horizontal="center" vertical="center"/>
    </xf>
    <xf numFmtId="0" fontId="24" fillId="7" borderId="6" xfId="0" applyFont="1" applyFill="1" applyBorder="1" applyAlignment="1">
      <alignment horizontal="left" vertical="center"/>
    </xf>
    <xf numFmtId="0" fontId="24" fillId="7" borderId="5" xfId="0" applyFont="1" applyFill="1" applyBorder="1" applyAlignment="1">
      <alignment horizontal="left" vertical="center"/>
    </xf>
    <xf numFmtId="0" fontId="9" fillId="7" borderId="36" xfId="0" applyFont="1" applyFill="1" applyBorder="1" applyAlignment="1">
      <alignment horizontal="center" vertical="center"/>
    </xf>
    <xf numFmtId="168" fontId="23" fillId="6" borderId="4" xfId="3" applyNumberFormat="1" applyFont="1" applyFill="1" applyBorder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9" fillId="2" borderId="0" xfId="0" applyFont="1" applyFill="1"/>
    <xf numFmtId="0" fontId="5" fillId="2" borderId="0" xfId="0" applyFont="1" applyFill="1"/>
    <xf numFmtId="0" fontId="11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 shrinkToFit="1"/>
    </xf>
    <xf numFmtId="0" fontId="7" fillId="2" borderId="0" xfId="0" applyFont="1" applyFill="1" applyAlignment="1">
      <alignment horizontal="center" vertical="center" shrinkToFit="1"/>
    </xf>
    <xf numFmtId="0" fontId="11" fillId="2" borderId="0" xfId="0" applyFont="1" applyFill="1" applyAlignment="1">
      <alignment wrapText="1"/>
    </xf>
    <xf numFmtId="0" fontId="29" fillId="2" borderId="0" xfId="0" applyFont="1" applyFill="1" applyAlignment="1">
      <alignment vertical="center"/>
    </xf>
    <xf numFmtId="0" fontId="6" fillId="2" borderId="0" xfId="0" applyFont="1" applyFill="1" applyAlignment="1">
      <alignment horizontal="left"/>
    </xf>
    <xf numFmtId="0" fontId="24" fillId="2" borderId="0" xfId="0" applyFont="1" applyFill="1"/>
    <xf numFmtId="0" fontId="11" fillId="2" borderId="0" xfId="0" applyFont="1" applyFill="1" applyAlignment="1">
      <alignment horizontal="left" vertical="center" shrinkToFi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shrinkToFit="1"/>
    </xf>
    <xf numFmtId="0" fontId="6" fillId="2" borderId="0" xfId="0" applyFont="1" applyFill="1" applyAlignment="1">
      <alignment horizontal="center" vertical="center" wrapText="1" shrinkToFit="1"/>
    </xf>
    <xf numFmtId="8" fontId="6" fillId="2" borderId="0" xfId="0" applyNumberFormat="1" applyFont="1" applyFill="1" applyAlignment="1">
      <alignment horizontal="center" vertical="center" shrinkToFit="1"/>
    </xf>
    <xf numFmtId="0" fontId="6" fillId="2" borderId="0" xfId="0" applyFont="1" applyFill="1"/>
    <xf numFmtId="44" fontId="6" fillId="2" borderId="0" xfId="11" applyFont="1" applyFill="1" applyBorder="1" applyAlignment="1">
      <alignment horizontal="center" vertical="center" shrinkToFit="1"/>
    </xf>
    <xf numFmtId="168" fontId="31" fillId="4" borderId="3" xfId="3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shrinkToFit="1"/>
    </xf>
    <xf numFmtId="44" fontId="5" fillId="2" borderId="0" xfId="11" applyFont="1" applyFill="1" applyBorder="1" applyAlignment="1">
      <alignment horizontal="center" vertical="center" shrinkToFit="1"/>
    </xf>
    <xf numFmtId="168" fontId="24" fillId="5" borderId="1" xfId="3" applyNumberFormat="1" applyFont="1" applyFill="1" applyBorder="1" applyAlignment="1">
      <alignment horizontal="center" vertical="center"/>
    </xf>
    <xf numFmtId="168" fontId="18" fillId="5" borderId="1" xfId="3" applyNumberFormat="1" applyFont="1" applyFill="1" applyBorder="1" applyAlignment="1">
      <alignment horizontal="center" vertical="center"/>
    </xf>
    <xf numFmtId="2" fontId="18" fillId="5" borderId="1" xfId="0" applyNumberFormat="1" applyFont="1" applyFill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168" fontId="23" fillId="4" borderId="54" xfId="3" applyNumberFormat="1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9" fillId="2" borderId="0" xfId="0" applyFont="1" applyFill="1"/>
    <xf numFmtId="2" fontId="24" fillId="5" borderId="1" xfId="0" applyNumberFormat="1" applyFont="1" applyFill="1" applyBorder="1" applyAlignment="1">
      <alignment horizontal="center" vertical="center"/>
    </xf>
    <xf numFmtId="0" fontId="23" fillId="3" borderId="59" xfId="0" applyFont="1" applyFill="1" applyBorder="1" applyAlignment="1">
      <alignment horizontal="center" vertical="center"/>
    </xf>
    <xf numFmtId="0" fontId="32" fillId="8" borderId="51" xfId="18" applyAlignment="1">
      <alignment horizontal="center" vertical="center"/>
    </xf>
    <xf numFmtId="168" fontId="24" fillId="4" borderId="7" xfId="3" applyNumberFormat="1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 wrapText="1"/>
    </xf>
    <xf numFmtId="168" fontId="24" fillId="0" borderId="7" xfId="3" applyNumberFormat="1" applyFont="1" applyFill="1" applyBorder="1" applyAlignment="1">
      <alignment horizontal="center" vertical="center"/>
    </xf>
    <xf numFmtId="168" fontId="24" fillId="0" borderId="1" xfId="3" applyNumberFormat="1" applyFont="1" applyFill="1" applyBorder="1" applyAlignment="1">
      <alignment horizontal="center" vertical="center"/>
    </xf>
    <xf numFmtId="4" fontId="24" fillId="5" borderId="1" xfId="3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168" fontId="23" fillId="3" borderId="4" xfId="0" applyNumberFormat="1" applyFont="1" applyFill="1" applyBorder="1" applyAlignment="1">
      <alignment horizontal="center" vertical="center"/>
    </xf>
    <xf numFmtId="0" fontId="23" fillId="3" borderId="61" xfId="0" applyFont="1" applyFill="1" applyBorder="1" applyAlignment="1">
      <alignment horizontal="center"/>
    </xf>
    <xf numFmtId="0" fontId="23" fillId="4" borderId="67" xfId="0" applyFont="1" applyFill="1" applyBorder="1" applyAlignment="1">
      <alignment horizontal="center" vertical="center"/>
    </xf>
    <xf numFmtId="0" fontId="24" fillId="4" borderId="67" xfId="0" applyFont="1" applyFill="1" applyBorder="1" applyAlignment="1">
      <alignment horizontal="center" vertical="center"/>
    </xf>
    <xf numFmtId="0" fontId="23" fillId="4" borderId="70" xfId="0" applyFont="1" applyFill="1" applyBorder="1" applyAlignment="1">
      <alignment horizontal="center" vertical="center"/>
    </xf>
    <xf numFmtId="0" fontId="24" fillId="4" borderId="70" xfId="0" applyFont="1" applyFill="1" applyBorder="1" applyAlignment="1">
      <alignment horizontal="center" vertical="center"/>
    </xf>
    <xf numFmtId="0" fontId="24" fillId="4" borderId="68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left" vertical="center"/>
    </xf>
    <xf numFmtId="0" fontId="23" fillId="4" borderId="70" xfId="0" applyFont="1" applyFill="1" applyBorder="1" applyAlignment="1">
      <alignment horizontal="center" vertical="center" wrapText="1"/>
    </xf>
    <xf numFmtId="0" fontId="24" fillId="4" borderId="71" xfId="0" applyFont="1" applyFill="1" applyBorder="1" applyAlignment="1">
      <alignment horizontal="left" vertical="center" shrinkToFit="1"/>
    </xf>
    <xf numFmtId="0" fontId="23" fillId="3" borderId="61" xfId="0" applyFont="1" applyFill="1" applyBorder="1" applyAlignment="1">
      <alignment horizontal="center" vertical="center"/>
    </xf>
    <xf numFmtId="0" fontId="23" fillId="6" borderId="61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/>
    </xf>
    <xf numFmtId="0" fontId="23" fillId="3" borderId="13" xfId="0" applyFont="1" applyFill="1" applyBorder="1"/>
    <xf numFmtId="0" fontId="23" fillId="3" borderId="15" xfId="0" applyFont="1" applyFill="1" applyBorder="1"/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4" fillId="2" borderId="0" xfId="2" applyFont="1" applyFill="1" applyAlignment="1">
      <alignment horizontal="center" vertical="center"/>
    </xf>
    <xf numFmtId="4" fontId="14" fillId="2" borderId="0" xfId="2" applyNumberFormat="1" applyFont="1" applyFill="1" applyAlignment="1">
      <alignment horizontal="right" vertical="center"/>
    </xf>
    <xf numFmtId="0" fontId="5" fillId="2" borderId="0" xfId="2" applyFont="1" applyFill="1" applyAlignment="1">
      <alignment vertical="center"/>
    </xf>
    <xf numFmtId="0" fontId="6" fillId="2" borderId="0" xfId="2" applyFont="1" applyFill="1" applyAlignment="1">
      <alignment vertical="center"/>
    </xf>
    <xf numFmtId="9" fontId="6" fillId="2" borderId="0" xfId="2" applyNumberFormat="1" applyFont="1" applyFill="1" applyAlignment="1">
      <alignment vertical="center"/>
    </xf>
    <xf numFmtId="0" fontId="5" fillId="2" borderId="0" xfId="2" applyFont="1" applyFill="1"/>
    <xf numFmtId="10" fontId="14" fillId="2" borderId="0" xfId="2" applyNumberFormat="1" applyFont="1" applyFill="1" applyAlignment="1">
      <alignment horizontal="right" vertical="center"/>
    </xf>
    <xf numFmtId="0" fontId="14" fillId="2" borderId="0" xfId="2" applyFont="1" applyFill="1" applyAlignment="1">
      <alignment horizontal="left" vertical="center"/>
    </xf>
    <xf numFmtId="10" fontId="5" fillId="2" borderId="0" xfId="2" applyNumberFormat="1" applyFont="1" applyFill="1" applyAlignment="1">
      <alignment horizontal="right" vertical="center"/>
    </xf>
    <xf numFmtId="0" fontId="5" fillId="2" borderId="0" xfId="2" applyFont="1" applyFill="1" applyAlignment="1">
      <alignment horizontal="left" vertical="center"/>
    </xf>
    <xf numFmtId="0" fontId="24" fillId="4" borderId="0" xfId="0" applyFont="1" applyFill="1" applyAlignment="1">
      <alignment vertical="center"/>
    </xf>
    <xf numFmtId="0" fontId="23" fillId="4" borderId="0" xfId="0" applyFont="1" applyFill="1" applyAlignment="1">
      <alignment vertical="center"/>
    </xf>
    <xf numFmtId="10" fontId="23" fillId="4" borderId="0" xfId="0" applyNumberFormat="1" applyFont="1" applyFill="1" applyAlignment="1">
      <alignment horizontal="right" vertical="center"/>
    </xf>
    <xf numFmtId="168" fontId="23" fillId="4" borderId="0" xfId="5" applyNumberFormat="1" applyFont="1" applyFill="1" applyBorder="1" applyAlignment="1">
      <alignment vertical="center"/>
    </xf>
    <xf numFmtId="0" fontId="7" fillId="2" borderId="0" xfId="2" applyFont="1" applyFill="1" applyAlignment="1">
      <alignment vertical="center"/>
    </xf>
    <xf numFmtId="168" fontId="32" fillId="8" borderId="62" xfId="18" applyNumberFormat="1" applyBorder="1" applyAlignment="1">
      <alignment horizontal="center" vertical="center"/>
    </xf>
    <xf numFmtId="4" fontId="23" fillId="4" borderId="23" xfId="0" applyNumberFormat="1" applyFont="1" applyFill="1" applyBorder="1" applyAlignment="1">
      <alignment horizontal="center" vertical="center" shrinkToFit="1"/>
    </xf>
    <xf numFmtId="10" fontId="23" fillId="5" borderId="1" xfId="0" applyNumberFormat="1" applyFont="1" applyFill="1" applyBorder="1" applyAlignment="1">
      <alignment horizontal="center" vertical="center"/>
    </xf>
    <xf numFmtId="4" fontId="23" fillId="5" borderId="73" xfId="0" applyNumberFormat="1" applyFont="1" applyFill="1" applyBorder="1" applyAlignment="1">
      <alignment horizontal="center" vertical="center"/>
    </xf>
    <xf numFmtId="0" fontId="23" fillId="4" borderId="73" xfId="0" applyFont="1" applyFill="1" applyBorder="1" applyAlignment="1">
      <alignment horizontal="center" vertical="center"/>
    </xf>
    <xf numFmtId="10" fontId="24" fillId="4" borderId="73" xfId="0" applyNumberFormat="1" applyFont="1" applyFill="1" applyBorder="1" applyAlignment="1">
      <alignment horizontal="center" vertical="center"/>
    </xf>
    <xf numFmtId="4" fontId="24" fillId="4" borderId="73" xfId="0" applyNumberFormat="1" applyFont="1" applyFill="1" applyBorder="1" applyAlignment="1">
      <alignment horizontal="center" vertical="center"/>
    </xf>
    <xf numFmtId="4" fontId="23" fillId="4" borderId="73" xfId="0" applyNumberFormat="1" applyFont="1" applyFill="1" applyBorder="1" applyAlignment="1">
      <alignment horizontal="center" vertical="center"/>
    </xf>
    <xf numFmtId="10" fontId="23" fillId="3" borderId="73" xfId="0" applyNumberFormat="1" applyFont="1" applyFill="1" applyBorder="1" applyAlignment="1">
      <alignment horizontal="right" vertical="center"/>
    </xf>
    <xf numFmtId="10" fontId="23" fillId="4" borderId="73" xfId="6" applyNumberFormat="1" applyFont="1" applyFill="1" applyBorder="1" applyAlignment="1">
      <alignment horizontal="center" vertical="center"/>
    </xf>
    <xf numFmtId="10" fontId="23" fillId="4" borderId="73" xfId="0" applyNumberFormat="1" applyFont="1" applyFill="1" applyBorder="1" applyAlignment="1">
      <alignment horizontal="center" vertical="center"/>
    </xf>
    <xf numFmtId="166" fontId="23" fillId="4" borderId="75" xfId="3" applyNumberFormat="1" applyFont="1" applyFill="1" applyBorder="1" applyAlignment="1">
      <alignment horizontal="right" vertical="center"/>
    </xf>
    <xf numFmtId="166" fontId="23" fillId="4" borderId="76" xfId="0" applyNumberFormat="1" applyFont="1" applyFill="1" applyBorder="1" applyAlignment="1">
      <alignment horizontal="right" vertical="center"/>
    </xf>
    <xf numFmtId="166" fontId="23" fillId="4" borderId="74" xfId="0" applyNumberFormat="1" applyFont="1" applyFill="1" applyBorder="1" applyAlignment="1">
      <alignment horizontal="right" vertical="center"/>
    </xf>
    <xf numFmtId="0" fontId="15" fillId="4" borderId="77" xfId="17" applyFill="1" applyBorder="1" applyAlignment="1">
      <alignment horizontal="center"/>
    </xf>
    <xf numFmtId="44" fontId="15" fillId="4" borderId="77" xfId="17" applyNumberFormat="1" applyFill="1" applyBorder="1" applyAlignment="1">
      <alignment horizontal="center"/>
    </xf>
    <xf numFmtId="4" fontId="15" fillId="4" borderId="77" xfId="17" applyNumberFormat="1" applyFill="1" applyBorder="1" applyAlignment="1">
      <alignment horizontal="center"/>
    </xf>
    <xf numFmtId="0" fontId="15" fillId="4" borderId="6" xfId="17" applyFill="1" applyBorder="1" applyAlignment="1">
      <alignment horizontal="center"/>
    </xf>
    <xf numFmtId="44" fontId="15" fillId="4" borderId="6" xfId="17" applyNumberFormat="1" applyFill="1" applyBorder="1" applyAlignment="1">
      <alignment horizontal="center"/>
    </xf>
    <xf numFmtId="4" fontId="15" fillId="4" borderId="6" xfId="17" applyNumberFormat="1" applyFill="1" applyBorder="1" applyAlignment="1">
      <alignment horizontal="center"/>
    </xf>
    <xf numFmtId="0" fontId="15" fillId="4" borderId="18" xfId="17" applyFill="1" applyBorder="1" applyAlignment="1">
      <alignment horizontal="center"/>
    </xf>
    <xf numFmtId="44" fontId="15" fillId="4" borderId="18" xfId="17" applyNumberFormat="1" applyFill="1" applyBorder="1" applyAlignment="1">
      <alignment horizontal="center"/>
    </xf>
    <xf numFmtId="4" fontId="15" fillId="4" borderId="18" xfId="17" applyNumberFormat="1" applyFill="1" applyBorder="1" applyAlignment="1">
      <alignment horizontal="center"/>
    </xf>
    <xf numFmtId="4" fontId="24" fillId="0" borderId="1" xfId="3" applyNumberFormat="1" applyFont="1" applyFill="1" applyBorder="1" applyAlignment="1">
      <alignment horizontal="center" vertical="center"/>
    </xf>
    <xf numFmtId="0" fontId="11" fillId="4" borderId="0" xfId="0" applyFont="1" applyFill="1"/>
    <xf numFmtId="0" fontId="23" fillId="4" borderId="60" xfId="0" applyFont="1" applyFill="1" applyBorder="1" applyAlignment="1">
      <alignment horizontal="center" vertical="center"/>
    </xf>
    <xf numFmtId="168" fontId="23" fillId="3" borderId="4" xfId="3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3" fillId="2" borderId="0" xfId="9" applyFill="1" applyAlignment="1" applyProtection="1"/>
    <xf numFmtId="0" fontId="23" fillId="3" borderId="73" xfId="0" applyFont="1" applyFill="1" applyBorder="1" applyAlignment="1">
      <alignment horizontal="right" vertical="center"/>
    </xf>
    <xf numFmtId="0" fontId="9" fillId="5" borderId="11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32" fillId="8" borderId="84" xfId="18" applyBorder="1" applyAlignment="1">
      <alignment horizontal="center" vertical="center"/>
    </xf>
    <xf numFmtId="0" fontId="23" fillId="4" borderId="11" xfId="0" applyFont="1" applyFill="1" applyBorder="1" applyAlignment="1">
      <alignment horizontal="center" vertical="center"/>
    </xf>
    <xf numFmtId="0" fontId="23" fillId="3" borderId="85" xfId="0" applyFont="1" applyFill="1" applyBorder="1" applyAlignment="1">
      <alignment horizontal="center" shrinkToFit="1"/>
    </xf>
    <xf numFmtId="4" fontId="23" fillId="4" borderId="54" xfId="0" applyNumberFormat="1" applyFont="1" applyFill="1" applyBorder="1" applyAlignment="1">
      <alignment horizontal="center" vertical="center" shrinkToFit="1"/>
    </xf>
    <xf numFmtId="0" fontId="24" fillId="4" borderId="87" xfId="0" applyFont="1" applyFill="1" applyBorder="1" applyAlignment="1">
      <alignment horizontal="center" vertical="center"/>
    </xf>
    <xf numFmtId="0" fontId="6" fillId="3" borderId="90" xfId="2" applyFont="1" applyFill="1" applyBorder="1" applyAlignment="1">
      <alignment horizontal="center" vertical="center"/>
    </xf>
    <xf numFmtId="10" fontId="5" fillId="5" borderId="73" xfId="2" applyNumberFormat="1" applyFont="1" applyFill="1" applyBorder="1" applyAlignment="1">
      <alignment horizontal="center" vertical="center"/>
    </xf>
    <xf numFmtId="0" fontId="5" fillId="4" borderId="16" xfId="0" applyFont="1" applyFill="1" applyBorder="1"/>
    <xf numFmtId="10" fontId="6" fillId="3" borderId="91" xfId="2" applyNumberFormat="1" applyFont="1" applyFill="1" applyBorder="1" applyAlignment="1">
      <alignment horizontal="center" vertical="center"/>
    </xf>
    <xf numFmtId="10" fontId="6" fillId="4" borderId="73" xfId="2" applyNumberFormat="1" applyFont="1" applyFill="1" applyBorder="1" applyAlignment="1">
      <alignment horizontal="center" vertical="center"/>
    </xf>
    <xf numFmtId="0" fontId="32" fillId="9" borderId="51" xfId="18" applyFill="1" applyAlignment="1">
      <alignment horizontal="center" vertical="center"/>
    </xf>
    <xf numFmtId="0" fontId="32" fillId="9" borderId="84" xfId="18" applyFill="1" applyBorder="1" applyAlignment="1">
      <alignment horizontal="center" vertical="center"/>
    </xf>
    <xf numFmtId="0" fontId="11" fillId="2" borderId="0" xfId="2" applyFont="1" applyFill="1" applyAlignment="1">
      <alignment horizontal="left" vertical="center"/>
    </xf>
    <xf numFmtId="0" fontId="33" fillId="4" borderId="0" xfId="0" applyFont="1" applyFill="1" applyAlignment="1">
      <alignment horizontal="center" vertical="center"/>
    </xf>
    <xf numFmtId="10" fontId="23" fillId="3" borderId="73" xfId="0" applyNumberFormat="1" applyFont="1" applyFill="1" applyBorder="1" applyAlignment="1">
      <alignment horizontal="center" vertical="center"/>
    </xf>
    <xf numFmtId="0" fontId="23" fillId="3" borderId="7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/>
    </xf>
    <xf numFmtId="0" fontId="19" fillId="4" borderId="0" xfId="0" applyFont="1" applyFill="1"/>
    <xf numFmtId="0" fontId="2" fillId="4" borderId="0" xfId="19" applyFill="1"/>
    <xf numFmtId="44" fontId="2" fillId="4" borderId="0" xfId="19" applyNumberFormat="1" applyFill="1"/>
    <xf numFmtId="44" fontId="2" fillId="4" borderId="0" xfId="13" applyFont="1" applyFill="1"/>
    <xf numFmtId="0" fontId="18" fillId="4" borderId="0" xfId="19" applyFont="1" applyFill="1"/>
    <xf numFmtId="0" fontId="35" fillId="4" borderId="0" xfId="0" applyFont="1" applyFill="1"/>
    <xf numFmtId="0" fontId="31" fillId="4" borderId="1" xfId="19" applyFont="1" applyFill="1" applyBorder="1" applyAlignment="1">
      <alignment horizontal="center" vertical="center"/>
    </xf>
    <xf numFmtId="0" fontId="31" fillId="4" borderId="1" xfId="19" applyFont="1" applyFill="1" applyBorder="1" applyAlignment="1">
      <alignment horizontal="center" vertical="center" wrapText="1"/>
    </xf>
    <xf numFmtId="0" fontId="17" fillId="4" borderId="0" xfId="17" applyFont="1" applyFill="1" applyAlignment="1">
      <alignment horizontal="right"/>
    </xf>
    <xf numFmtId="0" fontId="31" fillId="4" borderId="3" xfId="19" applyFont="1" applyFill="1" applyBorder="1" applyAlignment="1">
      <alignment horizontal="center" vertical="center"/>
    </xf>
    <xf numFmtId="0" fontId="31" fillId="4" borderId="6" xfId="19" applyFont="1" applyFill="1" applyBorder="1" applyAlignment="1">
      <alignment vertical="center"/>
    </xf>
    <xf numFmtId="0" fontId="18" fillId="4" borderId="6" xfId="19" applyFont="1" applyFill="1" applyBorder="1" applyAlignment="1">
      <alignment vertical="center"/>
    </xf>
    <xf numFmtId="0" fontId="18" fillId="4" borderId="70" xfId="19" applyFont="1" applyFill="1" applyBorder="1" applyAlignment="1">
      <alignment horizontal="center" vertical="center"/>
    </xf>
    <xf numFmtId="10" fontId="6" fillId="4" borderId="73" xfId="22" applyNumberFormat="1" applyFont="1" applyFill="1" applyBorder="1" applyAlignment="1">
      <alignment horizontal="center" vertical="center"/>
    </xf>
    <xf numFmtId="0" fontId="5" fillId="4" borderId="88" xfId="2" applyFont="1" applyFill="1" applyBorder="1" applyAlignment="1">
      <alignment horizontal="center" vertical="center"/>
    </xf>
    <xf numFmtId="10" fontId="31" fillId="4" borderId="1" xfId="19" applyNumberFormat="1" applyFont="1" applyFill="1" applyBorder="1" applyAlignment="1">
      <alignment horizontal="center"/>
    </xf>
    <xf numFmtId="10" fontId="23" fillId="5" borderId="73" xfId="6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right" vertical="center"/>
    </xf>
    <xf numFmtId="0" fontId="17" fillId="3" borderId="81" xfId="17" applyFont="1" applyFill="1" applyBorder="1" applyAlignment="1">
      <alignment horizontal="center"/>
    </xf>
    <xf numFmtId="0" fontId="17" fillId="3" borderId="82" xfId="17" applyFont="1" applyFill="1" applyBorder="1" applyAlignment="1">
      <alignment horizontal="center"/>
    </xf>
    <xf numFmtId="0" fontId="15" fillId="4" borderId="96" xfId="17" applyFill="1" applyBorder="1" applyAlignment="1">
      <alignment horizontal="left"/>
    </xf>
    <xf numFmtId="0" fontId="15" fillId="4" borderId="60" xfId="17" applyFill="1" applyBorder="1" applyAlignment="1">
      <alignment horizontal="left"/>
    </xf>
    <xf numFmtId="0" fontId="15" fillId="4" borderId="85" xfId="17" applyFill="1" applyBorder="1" applyAlignment="1">
      <alignment horizontal="left"/>
    </xf>
    <xf numFmtId="0" fontId="15" fillId="4" borderId="97" xfId="17" applyFill="1" applyBorder="1" applyAlignment="1">
      <alignment horizontal="left"/>
    </xf>
    <xf numFmtId="0" fontId="15" fillId="4" borderId="94" xfId="17" applyFill="1" applyBorder="1" applyAlignment="1">
      <alignment horizontal="center"/>
    </xf>
    <xf numFmtId="44" fontId="15" fillId="4" borderId="94" xfId="17" applyNumberFormat="1" applyFill="1" applyBorder="1" applyAlignment="1">
      <alignment horizontal="center"/>
    </xf>
    <xf numFmtId="4" fontId="15" fillId="4" borderId="94" xfId="17" applyNumberFormat="1" applyFill="1" applyBorder="1" applyAlignment="1">
      <alignment horizontal="center"/>
    </xf>
    <xf numFmtId="0" fontId="17" fillId="3" borderId="52" xfId="17" applyFont="1" applyFill="1" applyBorder="1" applyAlignment="1">
      <alignment horizontal="center"/>
    </xf>
    <xf numFmtId="44" fontId="15" fillId="4" borderId="98" xfId="17" applyNumberFormat="1" applyFill="1" applyBorder="1" applyAlignment="1">
      <alignment horizontal="center"/>
    </xf>
    <xf numFmtId="44" fontId="15" fillId="4" borderId="95" xfId="17" applyNumberFormat="1" applyFill="1" applyBorder="1" applyAlignment="1">
      <alignment horizontal="center"/>
    </xf>
    <xf numFmtId="44" fontId="15" fillId="4" borderId="83" xfId="17" applyNumberFormat="1" applyFill="1" applyBorder="1" applyAlignment="1">
      <alignment horizontal="center"/>
    </xf>
    <xf numFmtId="44" fontId="15" fillId="4" borderId="17" xfId="17" applyNumberFormat="1" applyFill="1" applyBorder="1" applyAlignment="1">
      <alignment horizontal="center"/>
    </xf>
    <xf numFmtId="0" fontId="19" fillId="2" borderId="0" xfId="17" applyFont="1" applyFill="1"/>
    <xf numFmtId="0" fontId="22" fillId="10" borderId="82" xfId="0" applyFont="1" applyFill="1" applyBorder="1" applyAlignment="1">
      <alignment vertical="center"/>
    </xf>
    <xf numFmtId="0" fontId="22" fillId="10" borderId="82" xfId="0" applyFont="1" applyFill="1" applyBorder="1" applyAlignment="1">
      <alignment horizontal="center" vertical="center"/>
    </xf>
    <xf numFmtId="0" fontId="6" fillId="10" borderId="52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center" vertical="center"/>
    </xf>
    <xf numFmtId="0" fontId="2" fillId="4" borderId="11" xfId="19" applyFill="1" applyBorder="1"/>
    <xf numFmtId="0" fontId="2" fillId="4" borderId="16" xfId="19" applyFill="1" applyBorder="1"/>
    <xf numFmtId="0" fontId="24" fillId="4" borderId="16" xfId="0" applyFont="1" applyFill="1" applyBorder="1" applyAlignment="1">
      <alignment horizontal="left" vertical="center"/>
    </xf>
    <xf numFmtId="0" fontId="6" fillId="4" borderId="94" xfId="0" applyFont="1" applyFill="1" applyBorder="1" applyAlignment="1">
      <alignment horizontal="center" vertical="center"/>
    </xf>
    <xf numFmtId="0" fontId="24" fillId="4" borderId="89" xfId="0" applyFont="1" applyFill="1" applyBorder="1" applyAlignment="1">
      <alignment horizontal="center" vertical="center"/>
    </xf>
    <xf numFmtId="0" fontId="17" fillId="3" borderId="81" xfId="17" applyFont="1" applyFill="1" applyBorder="1"/>
    <xf numFmtId="0" fontId="17" fillId="3" borderId="11" xfId="17" applyFont="1" applyFill="1" applyBorder="1"/>
    <xf numFmtId="0" fontId="17" fillId="3" borderId="97" xfId="17" applyFont="1" applyFill="1" applyBorder="1"/>
    <xf numFmtId="2" fontId="31" fillId="4" borderId="3" xfId="19" applyNumberFormat="1" applyFont="1" applyFill="1" applyBorder="1" applyAlignment="1">
      <alignment horizontal="center"/>
    </xf>
    <xf numFmtId="0" fontId="23" fillId="4" borderId="28" xfId="0" applyFont="1" applyFill="1" applyBorder="1" applyAlignment="1">
      <alignment vertical="center"/>
    </xf>
    <xf numFmtId="10" fontId="24" fillId="5" borderId="73" xfId="0" applyNumberFormat="1" applyFont="1" applyFill="1" applyBorder="1" applyAlignment="1">
      <alignment horizontal="center" vertical="center"/>
    </xf>
    <xf numFmtId="0" fontId="11" fillId="2" borderId="0" xfId="2" applyFont="1" applyFill="1"/>
    <xf numFmtId="0" fontId="39" fillId="15" borderId="2" xfId="23" applyFill="1" applyBorder="1" applyAlignment="1">
      <alignment horizontal="center" vertical="center" wrapText="1"/>
    </xf>
    <xf numFmtId="0" fontId="41" fillId="14" borderId="1" xfId="25" applyFill="1" applyBorder="1" applyAlignment="1">
      <alignment horizontal="center" vertical="center"/>
    </xf>
    <xf numFmtId="0" fontId="24" fillId="4" borderId="64" xfId="0" applyFont="1" applyFill="1" applyBorder="1" applyAlignment="1">
      <alignment vertical="center"/>
    </xf>
    <xf numFmtId="0" fontId="24" fillId="4" borderId="65" xfId="0" applyFont="1" applyFill="1" applyBorder="1" applyAlignment="1">
      <alignment vertical="center"/>
    </xf>
    <xf numFmtId="4" fontId="23" fillId="4" borderId="66" xfId="0" applyNumberFormat="1" applyFont="1" applyFill="1" applyBorder="1" applyAlignment="1">
      <alignment horizontal="center" vertical="center" shrinkToFit="1"/>
    </xf>
    <xf numFmtId="44" fontId="36" fillId="3" borderId="15" xfId="17" applyNumberFormat="1" applyFont="1" applyFill="1" applyBorder="1" applyAlignment="1">
      <alignment horizontal="center"/>
    </xf>
    <xf numFmtId="4" fontId="23" fillId="5" borderId="23" xfId="0" applyNumberFormat="1" applyFont="1" applyFill="1" applyBorder="1" applyAlignment="1">
      <alignment horizontal="center" vertical="center" shrinkToFit="1"/>
    </xf>
    <xf numFmtId="0" fontId="23" fillId="4" borderId="27" xfId="0" applyFont="1" applyFill="1" applyBorder="1" applyAlignment="1">
      <alignment horizontal="center" vertical="center"/>
    </xf>
    <xf numFmtId="0" fontId="23" fillId="4" borderId="63" xfId="0" applyFont="1" applyFill="1" applyBorder="1" applyAlignment="1">
      <alignment vertical="center"/>
    </xf>
    <xf numFmtId="0" fontId="18" fillId="4" borderId="5" xfId="0" applyFont="1" applyFill="1" applyBorder="1" applyAlignment="1">
      <alignment horizontal="center" vertical="center"/>
    </xf>
    <xf numFmtId="0" fontId="24" fillId="4" borderId="22" xfId="0" applyFont="1" applyFill="1" applyBorder="1" applyAlignment="1">
      <alignment vertical="center"/>
    </xf>
    <xf numFmtId="44" fontId="36" fillId="3" borderId="83" xfId="5" applyFont="1" applyFill="1" applyBorder="1" applyAlignment="1">
      <alignment horizontal="center"/>
    </xf>
    <xf numFmtId="44" fontId="36" fillId="3" borderId="17" xfId="5" applyFont="1" applyFill="1" applyBorder="1" applyAlignment="1">
      <alignment horizontal="center"/>
    </xf>
    <xf numFmtId="2" fontId="24" fillId="0" borderId="23" xfId="0" applyNumberFormat="1" applyFont="1" applyBorder="1" applyAlignment="1">
      <alignment horizontal="center" vertical="center"/>
    </xf>
    <xf numFmtId="167" fontId="19" fillId="4" borderId="23" xfId="0" applyNumberFormat="1" applyFont="1" applyFill="1" applyBorder="1" applyAlignment="1">
      <alignment horizontal="center" vertical="center"/>
    </xf>
    <xf numFmtId="0" fontId="24" fillId="5" borderId="1" xfId="3" applyNumberFormat="1" applyFont="1" applyFill="1" applyBorder="1" applyAlignment="1">
      <alignment horizontal="center" vertical="center"/>
    </xf>
    <xf numFmtId="168" fontId="24" fillId="5" borderId="7" xfId="3" applyNumberFormat="1" applyFont="1" applyFill="1" applyBorder="1" applyAlignment="1">
      <alignment horizontal="center" vertical="center"/>
    </xf>
    <xf numFmtId="168" fontId="23" fillId="5" borderId="3" xfId="0" applyNumberFormat="1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166" fontId="23" fillId="4" borderId="93" xfId="3" applyNumberFormat="1" applyFont="1" applyFill="1" applyBorder="1" applyAlignment="1">
      <alignment horizontal="right" vertical="center"/>
    </xf>
    <xf numFmtId="2" fontId="34" fillId="4" borderId="0" xfId="0" applyNumberFormat="1" applyFont="1" applyFill="1" applyAlignment="1">
      <alignment horizontal="center" vertical="center"/>
    </xf>
    <xf numFmtId="168" fontId="5" fillId="4" borderId="73" xfId="2" applyNumberFormat="1" applyFont="1" applyFill="1" applyBorder="1" applyAlignment="1">
      <alignment horizontal="center" vertical="center"/>
    </xf>
    <xf numFmtId="168" fontId="14" fillId="4" borderId="73" xfId="2" applyNumberFormat="1" applyFont="1" applyFill="1" applyBorder="1" applyAlignment="1">
      <alignment horizontal="center" vertical="center"/>
    </xf>
    <xf numFmtId="168" fontId="6" fillId="4" borderId="73" xfId="2" applyNumberFormat="1" applyFont="1" applyFill="1" applyBorder="1" applyAlignment="1">
      <alignment horizontal="center" vertical="center"/>
    </xf>
    <xf numFmtId="0" fontId="6" fillId="4" borderId="0" xfId="2" applyFont="1" applyFill="1" applyAlignment="1">
      <alignment vertical="center"/>
    </xf>
    <xf numFmtId="43" fontId="5" fillId="4" borderId="0" xfId="2" applyNumberFormat="1" applyFont="1" applyFill="1" applyAlignment="1">
      <alignment vertical="center"/>
    </xf>
    <xf numFmtId="166" fontId="6" fillId="4" borderId="0" xfId="21" applyNumberFormat="1" applyFont="1" applyFill="1" applyBorder="1" applyAlignment="1">
      <alignment horizontal="right" vertical="center"/>
    </xf>
    <xf numFmtId="0" fontId="5" fillId="4" borderId="0" xfId="2" applyFont="1" applyFill="1" applyAlignment="1">
      <alignment horizontal="right" vertical="center"/>
    </xf>
    <xf numFmtId="0" fontId="5" fillId="4" borderId="0" xfId="2" applyFont="1" applyFill="1" applyAlignment="1">
      <alignment vertical="center"/>
    </xf>
    <xf numFmtId="10" fontId="6" fillId="4" borderId="0" xfId="2" applyNumberFormat="1" applyFont="1" applyFill="1" applyAlignment="1">
      <alignment horizontal="right" vertical="center"/>
    </xf>
    <xf numFmtId="0" fontId="6" fillId="4" borderId="94" xfId="2" applyFont="1" applyFill="1" applyBorder="1" applyAlignment="1">
      <alignment vertical="center"/>
    </xf>
    <xf numFmtId="166" fontId="6" fillId="4" borderId="16" xfId="2" applyNumberFormat="1" applyFont="1" applyFill="1" applyBorder="1" applyAlignment="1">
      <alignment horizontal="right" vertical="center"/>
    </xf>
    <xf numFmtId="0" fontId="5" fillId="4" borderId="16" xfId="2" applyFont="1" applyFill="1" applyBorder="1" applyAlignment="1">
      <alignment vertical="center"/>
    </xf>
    <xf numFmtId="0" fontId="6" fillId="4" borderId="16" xfId="2" applyFont="1" applyFill="1" applyBorder="1" applyAlignment="1">
      <alignment vertical="center"/>
    </xf>
    <xf numFmtId="0" fontId="6" fillId="4" borderId="17" xfId="2" applyFont="1" applyFill="1" applyBorder="1" applyAlignment="1">
      <alignment vertical="center"/>
    </xf>
    <xf numFmtId="168" fontId="23" fillId="4" borderId="73" xfId="11" applyNumberFormat="1" applyFont="1" applyFill="1" applyBorder="1" applyAlignment="1">
      <alignment horizontal="center" vertical="center"/>
    </xf>
    <xf numFmtId="168" fontId="23" fillId="4" borderId="1" xfId="20" applyNumberFormat="1" applyFont="1" applyFill="1" applyBorder="1" applyAlignment="1">
      <alignment horizontal="center"/>
    </xf>
    <xf numFmtId="168" fontId="31" fillId="4" borderId="1" xfId="11" applyNumberFormat="1" applyFont="1" applyFill="1" applyBorder="1" applyAlignment="1">
      <alignment horizontal="center"/>
    </xf>
    <xf numFmtId="0" fontId="5" fillId="4" borderId="103" xfId="2" applyFont="1" applyFill="1" applyBorder="1" applyAlignment="1">
      <alignment horizontal="center" vertical="center"/>
    </xf>
    <xf numFmtId="0" fontId="6" fillId="3" borderId="105" xfId="2" applyFont="1" applyFill="1" applyBorder="1" applyAlignment="1">
      <alignment horizontal="center" vertical="center"/>
    </xf>
    <xf numFmtId="2" fontId="34" fillId="5" borderId="0" xfId="3" applyNumberFormat="1" applyFont="1" applyFill="1" applyAlignment="1">
      <alignment horizontal="center" vertical="center"/>
    </xf>
    <xf numFmtId="2" fontId="26" fillId="5" borderId="0" xfId="3" applyNumberFormat="1" applyFont="1" applyFill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23" fillId="3" borderId="83" xfId="0" applyFont="1" applyFill="1" applyBorder="1" applyAlignment="1">
      <alignment horizontal="center" vertical="center" shrinkToFit="1"/>
    </xf>
    <xf numFmtId="0" fontId="24" fillId="4" borderId="111" xfId="0" applyFont="1" applyFill="1" applyBorder="1" applyAlignment="1">
      <alignment horizontal="center" vertical="center"/>
    </xf>
    <xf numFmtId="4" fontId="24" fillId="4" borderId="112" xfId="0" applyNumberFormat="1" applyFont="1" applyFill="1" applyBorder="1" applyAlignment="1">
      <alignment horizontal="center" vertical="center" shrinkToFit="1"/>
    </xf>
    <xf numFmtId="0" fontId="25" fillId="3" borderId="0" xfId="0" applyFont="1" applyFill="1" applyAlignment="1">
      <alignment horizontal="center" vertical="center"/>
    </xf>
    <xf numFmtId="0" fontId="23" fillId="3" borderId="97" xfId="0" applyFont="1" applyFill="1" applyBorder="1" applyAlignment="1">
      <alignment horizontal="center" vertical="center"/>
    </xf>
    <xf numFmtId="2" fontId="23" fillId="3" borderId="58" xfId="0" applyNumberFormat="1" applyFont="1" applyFill="1" applyBorder="1" applyAlignment="1">
      <alignment horizontal="center" vertical="center" shrinkToFit="1"/>
    </xf>
    <xf numFmtId="2" fontId="23" fillId="3" borderId="116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23" fillId="4" borderId="117" xfId="0" applyFont="1" applyFill="1" applyBorder="1" applyAlignment="1">
      <alignment horizontal="center" vertical="center" wrapText="1"/>
    </xf>
    <xf numFmtId="0" fontId="23" fillId="4" borderId="119" xfId="0" applyFont="1" applyFill="1" applyBorder="1" applyAlignment="1">
      <alignment horizontal="center" vertical="center" wrapText="1"/>
    </xf>
    <xf numFmtId="0" fontId="23" fillId="0" borderId="86" xfId="0" applyFont="1" applyBorder="1" applyAlignment="1">
      <alignment horizontal="center" vertical="center"/>
    </xf>
    <xf numFmtId="168" fontId="23" fillId="4" borderId="53" xfId="3" applyNumberFormat="1" applyFont="1" applyFill="1" applyBorder="1" applyAlignment="1">
      <alignment horizontal="center" vertical="center"/>
    </xf>
    <xf numFmtId="168" fontId="23" fillId="4" borderId="0" xfId="3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 wrapText="1"/>
    </xf>
    <xf numFmtId="44" fontId="24" fillId="4" borderId="7" xfId="11" applyFont="1" applyFill="1" applyBorder="1" applyAlignment="1">
      <alignment horizontal="center" vertical="center" wrapText="1"/>
    </xf>
    <xf numFmtId="44" fontId="24" fillId="4" borderId="1" xfId="11" applyFont="1" applyFill="1" applyBorder="1" applyAlignment="1">
      <alignment horizontal="center" vertical="center" wrapText="1"/>
    </xf>
    <xf numFmtId="2" fontId="24" fillId="4" borderId="1" xfId="0" applyNumberFormat="1" applyFont="1" applyFill="1" applyBorder="1" applyAlignment="1">
      <alignment horizontal="center" vertical="center" wrapText="1"/>
    </xf>
    <xf numFmtId="2" fontId="24" fillId="4" borderId="5" xfId="0" applyNumberFormat="1" applyFont="1" applyFill="1" applyBorder="1" applyAlignment="1">
      <alignment horizontal="center" vertical="center" wrapText="1"/>
    </xf>
    <xf numFmtId="44" fontId="24" fillId="4" borderId="1" xfId="0" applyNumberFormat="1" applyFont="1" applyFill="1" applyBorder="1" applyAlignment="1">
      <alignment horizontal="center" vertical="center" wrapText="1"/>
    </xf>
    <xf numFmtId="4" fontId="24" fillId="4" borderId="1" xfId="0" applyNumberFormat="1" applyFont="1" applyFill="1" applyBorder="1" applyAlignment="1">
      <alignment horizontal="center" vertical="center" wrapText="1"/>
    </xf>
    <xf numFmtId="10" fontId="24" fillId="0" borderId="73" xfId="0" applyNumberFormat="1" applyFont="1" applyBorder="1" applyAlignment="1">
      <alignment horizontal="center" vertical="center"/>
    </xf>
    <xf numFmtId="168" fontId="23" fillId="3" borderId="73" xfId="5" applyNumberFormat="1" applyFont="1" applyFill="1" applyBorder="1" applyAlignment="1">
      <alignment vertical="center"/>
    </xf>
    <xf numFmtId="168" fontId="26" fillId="3" borderId="73" xfId="0" applyNumberFormat="1" applyFont="1" applyFill="1" applyBorder="1" applyAlignment="1">
      <alignment vertical="center"/>
    </xf>
    <xf numFmtId="0" fontId="40" fillId="17" borderId="1" xfId="24" applyFill="1" applyBorder="1" applyAlignment="1">
      <alignment horizontal="center" vertical="center"/>
    </xf>
    <xf numFmtId="0" fontId="40" fillId="16" borderId="7" xfId="24" applyFill="1" applyBorder="1" applyAlignment="1">
      <alignment horizontal="center" vertical="center"/>
    </xf>
    <xf numFmtId="168" fontId="23" fillId="4" borderId="7" xfId="20" applyNumberFormat="1" applyFont="1" applyFill="1" applyBorder="1" applyAlignment="1">
      <alignment horizontal="center"/>
    </xf>
    <xf numFmtId="0" fontId="31" fillId="4" borderId="5" xfId="19" applyFont="1" applyFill="1" applyBorder="1" applyAlignment="1">
      <alignment horizontal="center" vertical="center"/>
    </xf>
    <xf numFmtId="10" fontId="31" fillId="5" borderId="5" xfId="19" applyNumberFormat="1" applyFont="1" applyFill="1" applyBorder="1" applyAlignment="1">
      <alignment horizontal="center" vertical="center"/>
    </xf>
    <xf numFmtId="0" fontId="6" fillId="4" borderId="105" xfId="2" applyFont="1" applyFill="1" applyBorder="1" applyAlignment="1">
      <alignment horizontal="center" vertical="center"/>
    </xf>
    <xf numFmtId="168" fontId="37" fillId="4" borderId="89" xfId="2" applyNumberFormat="1" applyFont="1" applyFill="1" applyBorder="1" applyAlignment="1">
      <alignment horizontal="center" vertical="center"/>
    </xf>
    <xf numFmtId="4" fontId="24" fillId="5" borderId="1" xfId="0" applyNumberFormat="1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left" vertical="center"/>
    </xf>
    <xf numFmtId="168" fontId="37" fillId="3" borderId="89" xfId="2" applyNumberFormat="1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4" fillId="4" borderId="60" xfId="0" applyFont="1" applyFill="1" applyBorder="1" applyAlignment="1">
      <alignment vertical="center" wrapText="1"/>
    </xf>
    <xf numFmtId="0" fontId="24" fillId="4" borderId="6" xfId="0" applyFont="1" applyFill="1" applyBorder="1" applyAlignment="1">
      <alignment vertical="center" wrapText="1"/>
    </xf>
    <xf numFmtId="0" fontId="24" fillId="4" borderId="5" xfId="0" applyFont="1" applyFill="1" applyBorder="1" applyAlignment="1">
      <alignment vertical="center" wrapText="1"/>
    </xf>
    <xf numFmtId="0" fontId="18" fillId="5" borderId="60" xfId="0" applyFont="1" applyFill="1" applyBorder="1" applyAlignment="1">
      <alignment vertical="center" wrapText="1"/>
    </xf>
    <xf numFmtId="0" fontId="18" fillId="5" borderId="6" xfId="0" applyFont="1" applyFill="1" applyBorder="1" applyAlignment="1">
      <alignment vertical="center" wrapText="1"/>
    </xf>
    <xf numFmtId="0" fontId="18" fillId="5" borderId="5" xfId="0" applyFont="1" applyFill="1" applyBorder="1" applyAlignment="1">
      <alignment vertical="center" wrapText="1"/>
    </xf>
    <xf numFmtId="0" fontId="23" fillId="4" borderId="118" xfId="0" applyFont="1" applyFill="1" applyBorder="1" applyAlignment="1">
      <alignment vertical="center" wrapText="1"/>
    </xf>
    <xf numFmtId="0" fontId="23" fillId="4" borderId="69" xfId="0" applyFont="1" applyFill="1" applyBorder="1" applyAlignment="1">
      <alignment vertical="center" wrapText="1"/>
    </xf>
    <xf numFmtId="0" fontId="23" fillId="4" borderId="10" xfId="0" applyFont="1" applyFill="1" applyBorder="1" applyAlignment="1">
      <alignment vertical="center" wrapText="1"/>
    </xf>
    <xf numFmtId="0" fontId="25" fillId="4" borderId="0" xfId="2" applyFont="1" applyFill="1" applyAlignment="1">
      <alignment horizontal="right" vertical="center"/>
    </xf>
    <xf numFmtId="0" fontId="4" fillId="0" borderId="0" xfId="2"/>
    <xf numFmtId="0" fontId="6" fillId="3" borderId="120" xfId="2" applyFont="1" applyFill="1" applyBorder="1" applyAlignment="1">
      <alignment horizontal="center" vertical="center"/>
    </xf>
    <xf numFmtId="166" fontId="23" fillId="4" borderId="121" xfId="3" applyNumberFormat="1" applyFont="1" applyFill="1" applyBorder="1" applyAlignment="1">
      <alignment horizontal="right" vertical="center"/>
    </xf>
    <xf numFmtId="168" fontId="14" fillId="4" borderId="122" xfId="2" applyNumberFormat="1" applyFont="1" applyFill="1" applyBorder="1" applyAlignment="1">
      <alignment horizontal="center" vertical="center"/>
    </xf>
    <xf numFmtId="0" fontId="6" fillId="3" borderId="123" xfId="2" applyFont="1" applyFill="1" applyBorder="1" applyAlignment="1">
      <alignment horizontal="center" vertical="center"/>
    </xf>
    <xf numFmtId="0" fontId="2" fillId="4" borderId="94" xfId="19" applyFill="1" applyBorder="1"/>
    <xf numFmtId="168" fontId="35" fillId="4" borderId="1" xfId="0" applyNumberFormat="1" applyFont="1" applyFill="1" applyBorder="1" applyAlignment="1">
      <alignment horizontal="center"/>
    </xf>
    <xf numFmtId="168" fontId="32" fillId="9" borderId="102" xfId="18" applyNumberFormat="1" applyFill="1" applyBorder="1" applyAlignment="1">
      <alignment horizontal="center" vertical="center"/>
    </xf>
    <xf numFmtId="2" fontId="34" fillId="5" borderId="83" xfId="2" applyNumberFormat="1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left" vertical="center"/>
    </xf>
    <xf numFmtId="0" fontId="5" fillId="4" borderId="92" xfId="2" applyFont="1" applyFill="1" applyBorder="1" applyAlignment="1">
      <alignment horizontal="left" vertical="center"/>
    </xf>
    <xf numFmtId="0" fontId="14" fillId="4" borderId="92" xfId="2" applyFont="1" applyFill="1" applyBorder="1" applyAlignment="1">
      <alignment horizontal="left" vertical="center"/>
    </xf>
    <xf numFmtId="0" fontId="42" fillId="18" borderId="5" xfId="24" applyFont="1" applyFill="1" applyBorder="1" applyAlignment="1">
      <alignment horizontal="center" vertical="center" wrapText="1"/>
    </xf>
    <xf numFmtId="168" fontId="35" fillId="4" borderId="1" xfId="0" applyNumberFormat="1" applyFont="1" applyFill="1" applyBorder="1" applyAlignment="1">
      <alignment horizontal="center" vertical="center"/>
    </xf>
    <xf numFmtId="168" fontId="43" fillId="4" borderId="1" xfId="0" applyNumberFormat="1" applyFont="1" applyFill="1" applyBorder="1"/>
    <xf numFmtId="168" fontId="43" fillId="4" borderId="1" xfId="0" applyNumberFormat="1" applyFont="1" applyFill="1" applyBorder="1" applyAlignment="1">
      <alignment horizontal="center" vertical="center"/>
    </xf>
    <xf numFmtId="0" fontId="23" fillId="3" borderId="125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/>
    </xf>
    <xf numFmtId="0" fontId="44" fillId="0" borderId="0" xfId="2" applyFont="1"/>
    <xf numFmtId="0" fontId="45" fillId="0" borderId="0" xfId="2" applyFont="1" applyAlignment="1">
      <alignment horizontal="left" vertical="center"/>
    </xf>
    <xf numFmtId="0" fontId="46" fillId="0" borderId="0" xfId="2" applyFont="1" applyAlignment="1">
      <alignment horizontal="left" vertical="center" wrapText="1"/>
    </xf>
    <xf numFmtId="0" fontId="48" fillId="0" borderId="0" xfId="2" applyFont="1" applyAlignment="1">
      <alignment vertical="center"/>
    </xf>
    <xf numFmtId="0" fontId="50" fillId="0" borderId="0" xfId="2" applyFont="1" applyAlignment="1">
      <alignment vertical="center"/>
    </xf>
    <xf numFmtId="0" fontId="51" fillId="0" borderId="0" xfId="2" applyFont="1" applyAlignment="1">
      <alignment vertical="center"/>
    </xf>
    <xf numFmtId="0" fontId="52" fillId="0" borderId="0" xfId="2" applyFont="1" applyAlignment="1">
      <alignment vertical="center"/>
    </xf>
    <xf numFmtId="0" fontId="53" fillId="0" borderId="0" xfId="2" applyFont="1"/>
    <xf numFmtId="0" fontId="51" fillId="0" borderId="0" xfId="2" applyFont="1" applyAlignment="1">
      <alignment horizontal="center" wrapText="1"/>
    </xf>
    <xf numFmtId="0" fontId="54" fillId="0" borderId="0" xfId="2" applyFont="1" applyAlignment="1">
      <alignment wrapText="1"/>
    </xf>
    <xf numFmtId="0" fontId="55" fillId="20" borderId="127" xfId="2" applyFont="1" applyFill="1" applyBorder="1" applyAlignment="1">
      <alignment horizontal="left" vertical="center" wrapText="1" indent="1"/>
    </xf>
    <xf numFmtId="0" fontId="55" fillId="21" borderId="127" xfId="2" applyFont="1" applyFill="1" applyBorder="1" applyAlignment="1">
      <alignment horizontal="center" vertical="center" wrapText="1"/>
    </xf>
    <xf numFmtId="0" fontId="55" fillId="20" borderId="127" xfId="2" applyFont="1" applyFill="1" applyBorder="1" applyAlignment="1">
      <alignment horizontal="center" vertical="center" wrapText="1"/>
    </xf>
    <xf numFmtId="0" fontId="51" fillId="0" borderId="127" xfId="2" applyFont="1" applyBorder="1" applyAlignment="1">
      <alignment horizontal="center" vertical="center" wrapText="1"/>
    </xf>
    <xf numFmtId="0" fontId="49" fillId="22" borderId="129" xfId="2" applyFont="1" applyFill="1" applyBorder="1" applyAlignment="1">
      <alignment horizontal="center" vertical="center" wrapText="1"/>
    </xf>
    <xf numFmtId="0" fontId="55" fillId="20" borderId="130" xfId="2" applyFont="1" applyFill="1" applyBorder="1" applyAlignment="1">
      <alignment horizontal="left" vertical="center" wrapText="1" indent="1"/>
    </xf>
    <xf numFmtId="0" fontId="55" fillId="21" borderId="131" xfId="2" applyFont="1" applyFill="1" applyBorder="1" applyAlignment="1">
      <alignment horizontal="center" vertical="center" wrapText="1"/>
    </xf>
    <xf numFmtId="0" fontId="55" fillId="20" borderId="132" xfId="2" applyFont="1" applyFill="1" applyBorder="1" applyAlignment="1">
      <alignment horizontal="left" vertical="center" wrapText="1" indent="1"/>
    </xf>
    <xf numFmtId="0" fontId="55" fillId="23" borderId="127" xfId="2" applyFont="1" applyFill="1" applyBorder="1" applyAlignment="1">
      <alignment horizontal="center" vertical="center" wrapText="1"/>
    </xf>
    <xf numFmtId="0" fontId="51" fillId="0" borderId="127" xfId="2" applyFont="1" applyBorder="1" applyAlignment="1">
      <alignment horizontal="center" vertical="center"/>
    </xf>
    <xf numFmtId="0" fontId="51" fillId="24" borderId="127" xfId="2" applyFont="1" applyFill="1" applyBorder="1" applyAlignment="1">
      <alignment horizontal="center" vertical="center"/>
    </xf>
    <xf numFmtId="0" fontId="49" fillId="26" borderId="127" xfId="2" applyFont="1" applyFill="1" applyBorder="1" applyAlignment="1">
      <alignment horizontal="center" vertical="center" wrapText="1"/>
    </xf>
    <xf numFmtId="0" fontId="5" fillId="4" borderId="79" xfId="2" applyFont="1" applyFill="1" applyBorder="1" applyAlignment="1">
      <alignment vertical="center"/>
    </xf>
    <xf numFmtId="0" fontId="5" fillId="4" borderId="92" xfId="2" applyFont="1" applyFill="1" applyBorder="1" applyAlignment="1">
      <alignment vertical="center"/>
    </xf>
    <xf numFmtId="0" fontId="5" fillId="4" borderId="137" xfId="2" applyFont="1" applyFill="1" applyBorder="1" applyAlignment="1">
      <alignment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138" xfId="2" applyFont="1" applyFill="1" applyBorder="1" applyAlignment="1">
      <alignment horizontal="center" vertical="center"/>
    </xf>
    <xf numFmtId="0" fontId="6" fillId="3" borderId="139" xfId="2" applyFont="1" applyFill="1" applyBorder="1" applyAlignment="1">
      <alignment horizontal="center" vertical="center"/>
    </xf>
    <xf numFmtId="168" fontId="8" fillId="4" borderId="1" xfId="0" applyNumberFormat="1" applyFont="1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168" fontId="1" fillId="4" borderId="1" xfId="19" applyNumberFormat="1" applyFont="1" applyFill="1" applyBorder="1" applyAlignment="1">
      <alignment horizontal="center"/>
    </xf>
    <xf numFmtId="168" fontId="57" fillId="4" borderId="2" xfId="10" applyNumberFormat="1" applyFont="1" applyFill="1" applyBorder="1" applyAlignment="1">
      <alignment horizontal="center"/>
    </xf>
    <xf numFmtId="10" fontId="57" fillId="4" borderId="1" xfId="10" applyNumberFormat="1" applyFont="1" applyFill="1" applyBorder="1" applyAlignment="1">
      <alignment horizontal="center"/>
    </xf>
    <xf numFmtId="168" fontId="23" fillId="3" borderId="42" xfId="0" applyNumberFormat="1" applyFont="1" applyFill="1" applyBorder="1" applyAlignment="1">
      <alignment horizontal="center" vertical="center"/>
    </xf>
    <xf numFmtId="168" fontId="23" fillId="3" borderId="14" xfId="0" applyNumberFormat="1" applyFont="1" applyFill="1" applyBorder="1" applyAlignment="1">
      <alignment horizontal="center" vertical="center"/>
    </xf>
    <xf numFmtId="168" fontId="32" fillId="9" borderId="73" xfId="18" applyNumberFormat="1" applyFill="1" applyBorder="1" applyAlignment="1">
      <alignment vertical="center"/>
    </xf>
    <xf numFmtId="168" fontId="27" fillId="5" borderId="23" xfId="9" applyNumberFormat="1" applyFont="1" applyFill="1" applyBorder="1" applyAlignment="1" applyProtection="1">
      <alignment horizontal="center" vertical="center"/>
    </xf>
    <xf numFmtId="0" fontId="5" fillId="4" borderId="1" xfId="2" applyFont="1" applyFill="1" applyBorder="1" applyAlignment="1">
      <alignment horizontal="right" vertical="center"/>
    </xf>
    <xf numFmtId="44" fontId="5" fillId="4" borderId="3" xfId="5" applyFont="1" applyFill="1" applyBorder="1" applyAlignment="1">
      <alignment vertical="center"/>
    </xf>
    <xf numFmtId="44" fontId="57" fillId="4" borderId="1" xfId="5" applyFont="1" applyFill="1" applyBorder="1" applyAlignment="1">
      <alignment horizontal="center"/>
    </xf>
    <xf numFmtId="10" fontId="57" fillId="4" borderId="2" xfId="6" applyNumberFormat="1" applyFont="1" applyFill="1" applyBorder="1" applyAlignment="1">
      <alignment horizontal="center"/>
    </xf>
    <xf numFmtId="169" fontId="31" fillId="5" borderId="7" xfId="19" applyNumberFormat="1" applyFont="1" applyFill="1" applyBorder="1" applyAlignment="1">
      <alignment horizontal="center" vertical="center"/>
    </xf>
    <xf numFmtId="0" fontId="23" fillId="4" borderId="80" xfId="0" applyFont="1" applyFill="1" applyBorder="1" applyAlignment="1">
      <alignment horizontal="left" vertical="center"/>
    </xf>
    <xf numFmtId="0" fontId="23" fillId="4" borderId="73" xfId="0" applyFont="1" applyFill="1" applyBorder="1" applyAlignment="1">
      <alignment horizontal="left" vertical="center"/>
    </xf>
    <xf numFmtId="0" fontId="23" fillId="3" borderId="80" xfId="0" applyFont="1" applyFill="1" applyBorder="1" applyAlignment="1">
      <alignment horizontal="left" vertical="center"/>
    </xf>
    <xf numFmtId="0" fontId="23" fillId="3" borderId="73" xfId="0" applyFont="1" applyFill="1" applyBorder="1" applyAlignment="1">
      <alignment horizontal="left" vertical="center"/>
    </xf>
    <xf numFmtId="0" fontId="5" fillId="4" borderId="60" xfId="0" applyFont="1" applyFill="1" applyBorder="1"/>
    <xf numFmtId="0" fontId="5" fillId="4" borderId="5" xfId="0" applyFont="1" applyFill="1" applyBorder="1"/>
    <xf numFmtId="0" fontId="24" fillId="4" borderId="60" xfId="0" applyFont="1" applyFill="1" applyBorder="1" applyAlignment="1">
      <alignment horizontal="left" vertical="center"/>
    </xf>
    <xf numFmtId="0" fontId="24" fillId="4" borderId="6" xfId="0" applyFont="1" applyFill="1" applyBorder="1" applyAlignment="1">
      <alignment horizontal="left" vertical="center"/>
    </xf>
    <xf numFmtId="0" fontId="24" fillId="4" borderId="5" xfId="0" applyFont="1" applyFill="1" applyBorder="1" applyAlignment="1">
      <alignment horizontal="left" vertical="center"/>
    </xf>
    <xf numFmtId="0" fontId="23" fillId="3" borderId="8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left" vertical="center"/>
    </xf>
    <xf numFmtId="0" fontId="24" fillId="5" borderId="6" xfId="0" applyFont="1" applyFill="1" applyBorder="1" applyAlignment="1">
      <alignment horizontal="left" vertical="center"/>
    </xf>
    <xf numFmtId="0" fontId="24" fillId="5" borderId="5" xfId="0" applyFont="1" applyFill="1" applyBorder="1" applyAlignment="1">
      <alignment horizontal="left" vertical="center"/>
    </xf>
    <xf numFmtId="0" fontId="23" fillId="3" borderId="13" xfId="0" applyFont="1" applyFill="1" applyBorder="1" applyAlignment="1">
      <alignment horizontal="left" vertical="center"/>
    </xf>
    <xf numFmtId="0" fontId="23" fillId="3" borderId="15" xfId="0" applyFont="1" applyFill="1" applyBorder="1" applyAlignment="1">
      <alignment horizontal="left" vertical="center"/>
    </xf>
    <xf numFmtId="0" fontId="18" fillId="4" borderId="60" xfId="0" applyFont="1" applyFill="1" applyBorder="1" applyAlignment="1">
      <alignment vertical="center"/>
    </xf>
    <xf numFmtId="0" fontId="18" fillId="4" borderId="5" xfId="0" applyFont="1" applyFill="1" applyBorder="1" applyAlignment="1">
      <alignment vertical="center"/>
    </xf>
    <xf numFmtId="0" fontId="23" fillId="3" borderId="8" xfId="3" applyNumberFormat="1" applyFont="1" applyFill="1" applyBorder="1" applyAlignment="1">
      <alignment horizontal="center" vertical="center"/>
    </xf>
    <xf numFmtId="0" fontId="23" fillId="3" borderId="9" xfId="3" applyNumberFormat="1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left" vertical="center"/>
    </xf>
    <xf numFmtId="0" fontId="23" fillId="4" borderId="5" xfId="0" applyFont="1" applyFill="1" applyBorder="1" applyAlignment="1">
      <alignment horizontal="left" vertical="center"/>
    </xf>
    <xf numFmtId="0" fontId="27" fillId="5" borderId="6" xfId="0" applyFont="1" applyFill="1" applyBorder="1" applyAlignment="1">
      <alignment horizontal="left" vertical="center"/>
    </xf>
    <xf numFmtId="0" fontId="27" fillId="5" borderId="5" xfId="0" applyFont="1" applyFill="1" applyBorder="1" applyAlignment="1">
      <alignment horizontal="left" vertical="center"/>
    </xf>
    <xf numFmtId="0" fontId="24" fillId="7" borderId="6" xfId="0" applyFont="1" applyFill="1" applyBorder="1" applyAlignment="1">
      <alignment horizontal="left" vertical="center"/>
    </xf>
    <xf numFmtId="0" fontId="24" fillId="7" borderId="5" xfId="0" applyFont="1" applyFill="1" applyBorder="1" applyAlignment="1">
      <alignment horizontal="left" vertical="center"/>
    </xf>
    <xf numFmtId="0" fontId="23" fillId="4" borderId="6" xfId="0" applyFont="1" applyFill="1" applyBorder="1" applyAlignment="1">
      <alignment horizontal="left" vertical="center" wrapText="1"/>
    </xf>
    <xf numFmtId="0" fontId="23" fillId="4" borderId="5" xfId="0" applyFont="1" applyFill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0" fontId="23" fillId="6" borderId="8" xfId="0" applyFont="1" applyFill="1" applyBorder="1" applyAlignment="1">
      <alignment horizontal="center" vertical="center"/>
    </xf>
    <xf numFmtId="0" fontId="23" fillId="6" borderId="9" xfId="0" applyFont="1" applyFill="1" applyBorder="1" applyAlignment="1">
      <alignment horizontal="center" vertical="center"/>
    </xf>
    <xf numFmtId="0" fontId="23" fillId="3" borderId="46" xfId="0" applyFont="1" applyFill="1" applyBorder="1" applyAlignment="1">
      <alignment horizontal="left" vertical="center"/>
    </xf>
    <xf numFmtId="0" fontId="23" fillId="3" borderId="43" xfId="0" applyFont="1" applyFill="1" applyBorder="1" applyAlignment="1">
      <alignment horizontal="left" vertical="center"/>
    </xf>
    <xf numFmtId="0" fontId="23" fillId="3" borderId="48" xfId="0" applyFont="1" applyFill="1" applyBorder="1" applyAlignment="1">
      <alignment horizontal="left" vertical="center"/>
    </xf>
    <xf numFmtId="2" fontId="23" fillId="4" borderId="27" xfId="0" applyNumberFormat="1" applyFont="1" applyFill="1" applyBorder="1" applyAlignment="1">
      <alignment horizontal="center" vertical="center"/>
    </xf>
    <xf numFmtId="2" fontId="23" fillId="4" borderId="28" xfId="0" applyNumberFormat="1" applyFont="1" applyFill="1" applyBorder="1" applyAlignment="1">
      <alignment horizontal="center" vertical="center"/>
    </xf>
    <xf numFmtId="0" fontId="24" fillId="4" borderId="28" xfId="0" applyFont="1" applyFill="1" applyBorder="1" applyAlignment="1">
      <alignment horizontal="left" vertical="center"/>
    </xf>
    <xf numFmtId="0" fontId="24" fillId="4" borderId="23" xfId="0" applyFont="1" applyFill="1" applyBorder="1" applyAlignment="1">
      <alignment horizontal="left" vertical="center"/>
    </xf>
    <xf numFmtId="0" fontId="23" fillId="3" borderId="56" xfId="0" applyFont="1" applyFill="1" applyBorder="1" applyAlignment="1">
      <alignment horizontal="center" vertical="center"/>
    </xf>
    <xf numFmtId="0" fontId="23" fillId="3" borderId="57" xfId="0" applyFont="1" applyFill="1" applyBorder="1" applyAlignment="1">
      <alignment horizontal="center" vertical="center"/>
    </xf>
    <xf numFmtId="0" fontId="23" fillId="3" borderId="58" xfId="0" applyFont="1" applyFill="1" applyBorder="1" applyAlignment="1">
      <alignment horizontal="center" vertical="center"/>
    </xf>
    <xf numFmtId="0" fontId="23" fillId="3" borderId="40" xfId="0" applyFont="1" applyFill="1" applyBorder="1" applyAlignment="1">
      <alignment horizontal="left" vertical="center"/>
    </xf>
    <xf numFmtId="0" fontId="23" fillId="3" borderId="72" xfId="0" applyFont="1" applyFill="1" applyBorder="1" applyAlignment="1">
      <alignment horizontal="left" vertical="center"/>
    </xf>
    <xf numFmtId="2" fontId="24" fillId="4" borderId="7" xfId="3" applyNumberFormat="1" applyFont="1" applyFill="1" applyBorder="1" applyAlignment="1">
      <alignment horizontal="center" vertical="center"/>
    </xf>
    <xf numFmtId="2" fontId="24" fillId="4" borderId="5" xfId="3" applyNumberFormat="1" applyFont="1" applyFill="1" applyBorder="1" applyAlignment="1">
      <alignment horizontal="center" vertical="center"/>
    </xf>
    <xf numFmtId="0" fontId="24" fillId="4" borderId="60" xfId="0" applyFont="1" applyFill="1" applyBorder="1" applyAlignment="1">
      <alignment vertical="center"/>
    </xf>
    <xf numFmtId="0" fontId="24" fillId="4" borderId="6" xfId="0" applyFont="1" applyFill="1" applyBorder="1" applyAlignment="1">
      <alignment vertical="center"/>
    </xf>
    <xf numFmtId="0" fontId="24" fillId="4" borderId="5" xfId="0" applyFont="1" applyFill="1" applyBorder="1" applyAlignment="1">
      <alignment vertical="center"/>
    </xf>
    <xf numFmtId="168" fontId="24" fillId="4" borderId="7" xfId="3" applyNumberFormat="1" applyFont="1" applyFill="1" applyBorder="1" applyAlignment="1">
      <alignment horizontal="center" vertical="center"/>
    </xf>
    <xf numFmtId="168" fontId="24" fillId="4" borderId="5" xfId="3" applyNumberFormat="1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4" fillId="7" borderId="60" xfId="0" applyFont="1" applyFill="1" applyBorder="1" applyAlignment="1">
      <alignment horizontal="left" vertical="center"/>
    </xf>
    <xf numFmtId="0" fontId="23" fillId="3" borderId="80" xfId="0" applyFont="1" applyFill="1" applyBorder="1" applyAlignment="1">
      <alignment horizontal="center" vertical="center"/>
    </xf>
    <xf numFmtId="0" fontId="23" fillId="3" borderId="73" xfId="0" applyFont="1" applyFill="1" applyBorder="1" applyAlignment="1">
      <alignment horizontal="center" vertical="center"/>
    </xf>
    <xf numFmtId="0" fontId="23" fillId="4" borderId="99" xfId="0" applyFont="1" applyFill="1" applyBorder="1" applyAlignment="1">
      <alignment horizontal="left" vertical="center"/>
    </xf>
    <xf numFmtId="0" fontId="23" fillId="4" borderId="92" xfId="0" applyFont="1" applyFill="1" applyBorder="1" applyAlignment="1">
      <alignment horizontal="left" vertical="center"/>
    </xf>
    <xf numFmtId="0" fontId="5" fillId="0" borderId="18" xfId="0" applyFont="1" applyBorder="1" applyAlignment="1">
      <alignment horizontal="center"/>
    </xf>
    <xf numFmtId="10" fontId="23" fillId="4" borderId="0" xfId="0" applyNumberFormat="1" applyFont="1" applyFill="1" applyAlignment="1">
      <alignment horizontal="center" vertical="justify"/>
    </xf>
    <xf numFmtId="0" fontId="24" fillId="4" borderId="80" xfId="0" applyFont="1" applyFill="1" applyBorder="1" applyAlignment="1">
      <alignment horizontal="left" vertical="center"/>
    </xf>
    <xf numFmtId="0" fontId="24" fillId="4" borderId="73" xfId="0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 vertical="center"/>
    </xf>
    <xf numFmtId="0" fontId="23" fillId="4" borderId="69" xfId="0" applyFont="1" applyFill="1" applyBorder="1" applyAlignment="1">
      <alignment horizontal="center" vertical="center"/>
    </xf>
    <xf numFmtId="0" fontId="23" fillId="4" borderId="10" xfId="0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vertical="center"/>
    </xf>
    <xf numFmtId="0" fontId="24" fillId="4" borderId="20" xfId="0" applyFont="1" applyFill="1" applyBorder="1" applyAlignment="1">
      <alignment vertical="center"/>
    </xf>
    <xf numFmtId="0" fontId="24" fillId="4" borderId="78" xfId="0" applyFont="1" applyFill="1" applyBorder="1" applyAlignment="1">
      <alignment vertical="center"/>
    </xf>
    <xf numFmtId="0" fontId="24" fillId="4" borderId="28" xfId="0" applyFont="1" applyFill="1" applyBorder="1" applyAlignment="1">
      <alignment vertical="center"/>
    </xf>
    <xf numFmtId="0" fontId="24" fillId="4" borderId="23" xfId="0" applyFont="1" applyFill="1" applyBorder="1" applyAlignment="1">
      <alignment vertical="center"/>
    </xf>
    <xf numFmtId="0" fontId="23" fillId="3" borderId="37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23" fillId="3" borderId="35" xfId="0" applyFont="1" applyFill="1" applyBorder="1" applyAlignment="1">
      <alignment horizontal="left" vertical="center"/>
    </xf>
    <xf numFmtId="0" fontId="23" fillId="4" borderId="28" xfId="0" applyFont="1" applyFill="1" applyBorder="1" applyAlignment="1">
      <alignment horizontal="left" vertical="center"/>
    </xf>
    <xf numFmtId="0" fontId="25" fillId="4" borderId="23" xfId="0" applyFont="1" applyFill="1" applyBorder="1" applyAlignment="1">
      <alignment horizontal="left" vertical="center"/>
    </xf>
    <xf numFmtId="0" fontId="23" fillId="3" borderId="52" xfId="0" applyFont="1" applyFill="1" applyBorder="1" applyAlignment="1">
      <alignment horizontal="left" vertical="center"/>
    </xf>
    <xf numFmtId="0" fontId="23" fillId="3" borderId="100" xfId="0" applyFont="1" applyFill="1" applyBorder="1" applyAlignment="1">
      <alignment horizontal="center" vertical="center"/>
    </xf>
    <xf numFmtId="0" fontId="23" fillId="3" borderId="126" xfId="0" applyFont="1" applyFill="1" applyBorder="1" applyAlignment="1">
      <alignment horizontal="center" vertical="center"/>
    </xf>
    <xf numFmtId="0" fontId="24" fillId="4" borderId="106" xfId="0" applyFont="1" applyFill="1" applyBorder="1" applyAlignment="1">
      <alignment horizontal="center" vertical="center"/>
    </xf>
    <xf numFmtId="0" fontId="24" fillId="4" borderId="71" xfId="0" applyFont="1" applyFill="1" applyBorder="1" applyAlignment="1">
      <alignment horizontal="center" vertical="center"/>
    </xf>
    <xf numFmtId="0" fontId="24" fillId="4" borderId="107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left" vertical="center"/>
    </xf>
    <xf numFmtId="0" fontId="18" fillId="4" borderId="5" xfId="0" applyFont="1" applyFill="1" applyBorder="1" applyAlignment="1">
      <alignment horizontal="left" vertical="center"/>
    </xf>
    <xf numFmtId="0" fontId="22" fillId="6" borderId="34" xfId="0" applyFont="1" applyFill="1" applyBorder="1" applyAlignment="1">
      <alignment horizontal="center" vertical="center"/>
    </xf>
    <xf numFmtId="0" fontId="22" fillId="6" borderId="35" xfId="0" applyFont="1" applyFill="1" applyBorder="1" applyAlignment="1">
      <alignment horizontal="center" vertical="center"/>
    </xf>
    <xf numFmtId="4" fontId="24" fillId="3" borderId="22" xfId="0" applyNumberFormat="1" applyFont="1" applyFill="1" applyBorder="1" applyAlignment="1">
      <alignment horizontal="center" vertical="center" shrinkToFit="1"/>
    </xf>
    <xf numFmtId="4" fontId="24" fillId="3" borderId="114" xfId="0" applyNumberFormat="1" applyFont="1" applyFill="1" applyBorder="1" applyAlignment="1">
      <alignment horizontal="center" vertical="center" shrinkToFit="1"/>
    </xf>
    <xf numFmtId="0" fontId="24" fillId="4" borderId="19" xfId="0" applyFont="1" applyFill="1" applyBorder="1" applyAlignment="1">
      <alignment horizontal="left" vertical="center"/>
    </xf>
    <xf numFmtId="0" fontId="24" fillId="4" borderId="20" xfId="0" applyFont="1" applyFill="1" applyBorder="1" applyAlignment="1">
      <alignment horizontal="left" vertical="center"/>
    </xf>
    <xf numFmtId="0" fontId="24" fillId="4" borderId="21" xfId="0" applyFont="1" applyFill="1" applyBorder="1" applyAlignment="1">
      <alignment horizontal="left" vertical="center"/>
    </xf>
    <xf numFmtId="0" fontId="24" fillId="4" borderId="22" xfId="0" applyFont="1" applyFill="1" applyBorder="1" applyAlignment="1">
      <alignment horizontal="left" vertical="center"/>
    </xf>
    <xf numFmtId="0" fontId="9" fillId="6" borderId="33" xfId="0" applyFont="1" applyFill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/>
    </xf>
    <xf numFmtId="2" fontId="33" fillId="4" borderId="25" xfId="0" applyNumberFormat="1" applyFont="1" applyFill="1" applyBorder="1" applyAlignment="1">
      <alignment horizontal="center" vertical="center"/>
    </xf>
    <xf numFmtId="0" fontId="25" fillId="3" borderId="113" xfId="0" applyFont="1" applyFill="1" applyBorder="1" applyAlignment="1">
      <alignment horizontal="center" vertical="center"/>
    </xf>
    <xf numFmtId="0" fontId="25" fillId="3" borderId="26" xfId="0" applyFont="1" applyFill="1" applyBorder="1" applyAlignment="1">
      <alignment horizontal="center" vertical="center"/>
    </xf>
    <xf numFmtId="0" fontId="22" fillId="3" borderId="108" xfId="0" applyFont="1" applyFill="1" applyBorder="1" applyAlignment="1">
      <alignment horizontal="center" vertical="center" shrinkToFit="1"/>
    </xf>
    <xf numFmtId="0" fontId="22" fillId="3" borderId="109" xfId="0" applyFont="1" applyFill="1" applyBorder="1" applyAlignment="1">
      <alignment horizontal="center" vertical="center" shrinkToFit="1"/>
    </xf>
    <xf numFmtId="0" fontId="22" fillId="3" borderId="110" xfId="0" applyFont="1" applyFill="1" applyBorder="1" applyAlignment="1">
      <alignment horizontal="center" vertical="center" shrinkToFit="1"/>
    </xf>
    <xf numFmtId="0" fontId="23" fillId="3" borderId="18" xfId="0" applyFont="1" applyFill="1" applyBorder="1" applyAlignment="1">
      <alignment horizontal="left" shrinkToFit="1"/>
    </xf>
    <xf numFmtId="0" fontId="33" fillId="5" borderId="0" xfId="0" applyFont="1" applyFill="1" applyAlignment="1">
      <alignment horizontal="center" vertical="center"/>
    </xf>
    <xf numFmtId="0" fontId="23" fillId="4" borderId="27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/>
    </xf>
    <xf numFmtId="0" fontId="24" fillId="5" borderId="27" xfId="0" applyFont="1" applyFill="1" applyBorder="1" applyAlignment="1">
      <alignment horizontal="center" vertical="center"/>
    </xf>
    <xf numFmtId="0" fontId="24" fillId="5" borderId="28" xfId="0" applyFont="1" applyFill="1" applyBorder="1" applyAlignment="1">
      <alignment horizontal="center" vertical="center"/>
    </xf>
    <xf numFmtId="0" fontId="24" fillId="4" borderId="63" xfId="0" applyFont="1" applyFill="1" applyBorder="1" applyAlignment="1">
      <alignment horizontal="left" vertical="center"/>
    </xf>
    <xf numFmtId="0" fontId="24" fillId="4" borderId="101" xfId="0" applyFont="1" applyFill="1" applyBorder="1" applyAlignment="1">
      <alignment horizontal="left" vertical="center"/>
    </xf>
    <xf numFmtId="0" fontId="24" fillId="4" borderId="100" xfId="0" applyFont="1" applyFill="1" applyBorder="1" applyAlignment="1">
      <alignment horizontal="left" vertical="center"/>
    </xf>
    <xf numFmtId="0" fontId="23" fillId="3" borderId="94" xfId="0" applyFont="1" applyFill="1" applyBorder="1" applyAlignment="1">
      <alignment horizontal="center" vertical="center"/>
    </xf>
    <xf numFmtId="0" fontId="23" fillId="3" borderId="115" xfId="0" applyFont="1" applyFill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2" fontId="23" fillId="4" borderId="23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6" fillId="2" borderId="0" xfId="17" applyFont="1" applyFill="1" applyAlignment="1">
      <alignment horizontal="center"/>
    </xf>
    <xf numFmtId="0" fontId="17" fillId="2" borderId="0" xfId="17" applyFont="1" applyFill="1" applyAlignment="1">
      <alignment horizontal="center"/>
    </xf>
    <xf numFmtId="0" fontId="36" fillId="4" borderId="0" xfId="17" applyFont="1" applyFill="1" applyAlignment="1">
      <alignment horizontal="center"/>
    </xf>
    <xf numFmtId="2" fontId="36" fillId="4" borderId="6" xfId="17" applyNumberFormat="1" applyFont="1" applyFill="1" applyBorder="1" applyAlignment="1">
      <alignment horizontal="center"/>
    </xf>
    <xf numFmtId="0" fontId="56" fillId="25" borderId="128" xfId="2" applyFont="1" applyFill="1" applyBorder="1" applyAlignment="1">
      <alignment horizontal="center" vertical="center" wrapText="1"/>
    </xf>
    <xf numFmtId="0" fontId="56" fillId="25" borderId="136" xfId="2" applyFont="1" applyFill="1" applyBorder="1" applyAlignment="1">
      <alignment horizontal="center" vertical="center" wrapText="1"/>
    </xf>
    <xf numFmtId="0" fontId="56" fillId="25" borderId="129" xfId="2" applyFont="1" applyFill="1" applyBorder="1" applyAlignment="1">
      <alignment horizontal="center" vertical="center" wrapText="1"/>
    </xf>
    <xf numFmtId="0" fontId="51" fillId="0" borderId="128" xfId="2" applyFont="1" applyBorder="1" applyAlignment="1">
      <alignment vertical="center" wrapText="1"/>
    </xf>
    <xf numFmtId="0" fontId="51" fillId="0" borderId="129" xfId="2" applyFont="1" applyBorder="1" applyAlignment="1">
      <alignment vertical="center" wrapText="1"/>
    </xf>
    <xf numFmtId="0" fontId="51" fillId="0" borderId="128" xfId="2" applyFont="1" applyBorder="1" applyAlignment="1">
      <alignment horizontal="left" vertical="center" wrapText="1" indent="1"/>
    </xf>
    <xf numFmtId="0" fontId="51" fillId="0" borderId="129" xfId="2" applyFont="1" applyBorder="1" applyAlignment="1">
      <alignment horizontal="left" vertical="center" wrapText="1" indent="1"/>
    </xf>
    <xf numFmtId="0" fontId="51" fillId="22" borderId="133" xfId="2" applyFont="1" applyFill="1" applyBorder="1" applyAlignment="1">
      <alignment horizontal="left" vertical="center" wrapText="1" indent="1"/>
    </xf>
    <xf numFmtId="0" fontId="51" fillId="22" borderId="134" xfId="2" applyFont="1" applyFill="1" applyBorder="1" applyAlignment="1">
      <alignment horizontal="left" vertical="center" wrapText="1" indent="1"/>
    </xf>
    <xf numFmtId="0" fontId="51" fillId="22" borderId="135" xfId="2" applyFont="1" applyFill="1" applyBorder="1" applyAlignment="1">
      <alignment horizontal="left" vertical="center" wrapText="1" indent="1"/>
    </xf>
    <xf numFmtId="0" fontId="53" fillId="0" borderId="0" xfId="2" applyFont="1"/>
    <xf numFmtId="0" fontId="55" fillId="23" borderId="128" xfId="2" applyFont="1" applyFill="1" applyBorder="1" applyAlignment="1">
      <alignment horizontal="center" vertical="center" wrapText="1"/>
    </xf>
    <xf numFmtId="0" fontId="55" fillId="23" borderId="129" xfId="2" applyFont="1" applyFill="1" applyBorder="1" applyAlignment="1">
      <alignment horizontal="center" vertical="center" wrapText="1"/>
    </xf>
    <xf numFmtId="0" fontId="47" fillId="0" borderId="0" xfId="2" applyFont="1" applyAlignment="1">
      <alignment horizontal="center" vertical="center"/>
    </xf>
    <xf numFmtId="0" fontId="44" fillId="0" borderId="0" xfId="2" applyFont="1"/>
    <xf numFmtId="0" fontId="49" fillId="19" borderId="0" xfId="2" applyFont="1" applyFill="1" applyAlignment="1">
      <alignment horizontal="left" vertical="center" wrapText="1"/>
    </xf>
    <xf numFmtId="0" fontId="5" fillId="4" borderId="79" xfId="2" applyFont="1" applyFill="1" applyBorder="1" applyAlignment="1">
      <alignment horizontal="left" vertical="center"/>
    </xf>
    <xf numFmtId="0" fontId="5" fillId="4" borderId="92" xfId="2" applyFont="1" applyFill="1" applyBorder="1" applyAlignment="1">
      <alignment horizontal="left" vertical="center"/>
    </xf>
    <xf numFmtId="0" fontId="5" fillId="4" borderId="80" xfId="2" applyFont="1" applyFill="1" applyBorder="1" applyAlignment="1">
      <alignment horizontal="left" vertical="center"/>
    </xf>
    <xf numFmtId="0" fontId="9" fillId="10" borderId="81" xfId="0" applyFont="1" applyFill="1" applyBorder="1" applyAlignment="1">
      <alignment horizontal="center" vertical="center"/>
    </xf>
    <xf numFmtId="0" fontId="9" fillId="10" borderId="82" xfId="0" applyFont="1" applyFill="1" applyBorder="1" applyAlignment="1">
      <alignment horizontal="center" vertical="center"/>
    </xf>
    <xf numFmtId="0" fontId="22" fillId="10" borderId="82" xfId="0" applyFont="1" applyFill="1" applyBorder="1" applyAlignment="1">
      <alignment horizontal="center" vertical="center"/>
    </xf>
    <xf numFmtId="0" fontId="6" fillId="3" borderId="106" xfId="2" applyFont="1" applyFill="1" applyBorder="1" applyAlignment="1">
      <alignment horizontal="center" vertical="center"/>
    </xf>
    <xf numFmtId="0" fontId="6" fillId="3" borderId="71" xfId="2" applyFont="1" applyFill="1" applyBorder="1" applyAlignment="1">
      <alignment horizontal="center" vertical="center"/>
    </xf>
    <xf numFmtId="0" fontId="6" fillId="3" borderId="107" xfId="2" applyFont="1" applyFill="1" applyBorder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2" fontId="33" fillId="4" borderId="0" xfId="0" applyNumberFormat="1" applyFont="1" applyFill="1" applyAlignment="1">
      <alignment horizontal="center" vertical="center"/>
    </xf>
    <xf numFmtId="0" fontId="14" fillId="4" borderId="75" xfId="2" applyFont="1" applyFill="1" applyBorder="1" applyAlignment="1">
      <alignment horizontal="left" vertical="center"/>
    </xf>
    <xf numFmtId="0" fontId="14" fillId="4" borderId="104" xfId="2" applyFont="1" applyFill="1" applyBorder="1" applyAlignment="1">
      <alignment horizontal="left" vertical="center"/>
    </xf>
    <xf numFmtId="0" fontId="14" fillId="4" borderId="76" xfId="2" applyFont="1" applyFill="1" applyBorder="1" applyAlignment="1">
      <alignment horizontal="left" vertical="center"/>
    </xf>
    <xf numFmtId="10" fontId="6" fillId="4" borderId="0" xfId="2" applyNumberFormat="1" applyFont="1" applyFill="1" applyAlignment="1">
      <alignment horizontal="center" vertical="justify"/>
    </xf>
    <xf numFmtId="0" fontId="6" fillId="3" borderId="91" xfId="2" applyFont="1" applyFill="1" applyBorder="1" applyAlignment="1">
      <alignment horizontal="left" vertical="center"/>
    </xf>
    <xf numFmtId="0" fontId="14" fillId="4" borderId="79" xfId="2" applyFont="1" applyFill="1" applyBorder="1" applyAlignment="1">
      <alignment horizontal="left" vertical="center"/>
    </xf>
    <xf numFmtId="0" fontId="14" fillId="4" borderId="92" xfId="2" applyFont="1" applyFill="1" applyBorder="1" applyAlignment="1">
      <alignment horizontal="left" vertical="center"/>
    </xf>
    <xf numFmtId="0" fontId="14" fillId="4" borderId="80" xfId="2" applyFont="1" applyFill="1" applyBorder="1" applyAlignment="1">
      <alignment horizontal="left" vertical="center"/>
    </xf>
    <xf numFmtId="0" fontId="38" fillId="4" borderId="79" xfId="2" applyFont="1" applyFill="1" applyBorder="1" applyAlignment="1">
      <alignment horizontal="left" vertical="center"/>
    </xf>
    <xf numFmtId="0" fontId="38" fillId="4" borderId="92" xfId="2" applyFont="1" applyFill="1" applyBorder="1" applyAlignment="1">
      <alignment horizontal="left" vertical="center"/>
    </xf>
    <xf numFmtId="0" fontId="38" fillId="4" borderId="80" xfId="2" applyFont="1" applyFill="1" applyBorder="1" applyAlignment="1">
      <alignment horizontal="left" vertical="center"/>
    </xf>
    <xf numFmtId="0" fontId="6" fillId="3" borderId="123" xfId="2" applyFont="1" applyFill="1" applyBorder="1" applyAlignment="1">
      <alignment horizontal="center" vertical="center"/>
    </xf>
    <xf numFmtId="0" fontId="6" fillId="3" borderId="124" xfId="2" applyFont="1" applyFill="1" applyBorder="1" applyAlignment="1">
      <alignment horizontal="center" vertical="center"/>
    </xf>
    <xf numFmtId="0" fontId="14" fillId="4" borderId="7" xfId="2" applyFont="1" applyFill="1" applyBorder="1" applyAlignment="1">
      <alignment horizontal="center" vertical="center"/>
    </xf>
    <xf numFmtId="0" fontId="14" fillId="4" borderId="5" xfId="2" applyFont="1" applyFill="1" applyBorder="1" applyAlignment="1">
      <alignment horizontal="center" vertical="center"/>
    </xf>
  </cellXfs>
  <cellStyles count="26">
    <cellStyle name="Bom" xfId="23" builtinId="26"/>
    <cellStyle name="Célula de Verificação" xfId="18" builtinId="23"/>
    <cellStyle name="Euro" xfId="1" xr:uid="{00000000-0005-0000-0000-000000000000}"/>
    <cellStyle name="Hiperlink" xfId="9" builtinId="8"/>
    <cellStyle name="Moeda" xfId="5" builtinId="4"/>
    <cellStyle name="Moeda 2" xfId="11" xr:uid="{00000000-0005-0000-0000-000003000000}"/>
    <cellStyle name="Moeda 2 2" xfId="13" xr:uid="{00000000-0005-0000-0000-000004000000}"/>
    <cellStyle name="Moeda 3" xfId="12" xr:uid="{00000000-0005-0000-0000-000005000000}"/>
    <cellStyle name="Moeda 4" xfId="16" xr:uid="{C0BAA68D-D666-4AF9-86D0-158A9B7E808E}"/>
    <cellStyle name="Moeda 4 2 2 2" xfId="20" xr:uid="{ECE449C8-5F93-4485-9452-C0E3E337C365}"/>
    <cellStyle name="Moeda0" xfId="8" xr:uid="{00000000-0005-0000-0000-000006000000}"/>
    <cellStyle name="Neutro" xfId="25" builtinId="28"/>
    <cellStyle name="Normal" xfId="0" builtinId="0"/>
    <cellStyle name="Normal 2" xfId="2" xr:uid="{00000000-0005-0000-0000-000008000000}"/>
    <cellStyle name="Normal 3" xfId="14" xr:uid="{9A751BBD-468B-4B8B-A98A-7D219DCACB95}"/>
    <cellStyle name="Normal 4 2 2 2" xfId="19" xr:uid="{28C39743-F123-4D6F-8569-3A41176A848F}"/>
    <cellStyle name="Normal 5" xfId="17" xr:uid="{153C9F38-5A2E-48D6-AA4F-E106E167BECE}"/>
    <cellStyle name="Porcentagem" xfId="6" builtinId="5"/>
    <cellStyle name="Porcentagem 2" xfId="10" xr:uid="{00000000-0005-0000-0000-00000A000000}"/>
    <cellStyle name="Porcentagem 2 2" xfId="22" xr:uid="{79CDCDAE-A1F5-446C-AC09-5DD0329D9BC1}"/>
    <cellStyle name="Ruim" xfId="24" builtinId="27"/>
    <cellStyle name="Vírgula" xfId="3" builtinId="3"/>
    <cellStyle name="Vírgula 2" xfId="4" xr:uid="{00000000-0005-0000-0000-00000C000000}"/>
    <cellStyle name="Vírgula 2 2" xfId="7" xr:uid="{00000000-0005-0000-0000-00000D000000}"/>
    <cellStyle name="Vírgula 2 3" xfId="15" xr:uid="{140D8F0E-BD71-4145-BA9B-6106124F980B}"/>
    <cellStyle name="Vírgula 2 3 2" xfId="21" xr:uid="{60BDC1F3-F30A-4BD5-A055-0CA665DEF229}"/>
  </cellStyles>
  <dxfs count="0"/>
  <tableStyles count="0" defaultTableStyle="TableStyleMedium9" defaultPivotStyle="PivotStyleLight16"/>
  <colors>
    <mruColors>
      <color rgb="FFFFFF99"/>
      <color rgb="FFFF6969"/>
      <color rgb="FFFF6970"/>
      <color rgb="FFFF8585"/>
      <color rgb="FFFFCC66"/>
      <color rgb="FF009900"/>
      <color rgb="FF66FF33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424221516328799E-2"/>
          <c:y val="0.18056824878985656"/>
          <c:w val="0.95715155696734244"/>
          <c:h val="0.65911834319686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Resumo!$D$14</c:f>
              <c:strCache>
                <c:ptCount val="1"/>
                <c:pt idx="0">
                  <c:v>Preço de Venda (R$)</c:v>
                </c:pt>
              </c:strCache>
            </c:strRef>
          </c:tx>
          <c:spPr>
            <a:solidFill>
              <a:srgbClr val="0099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Resumo!$B$15:$B$15</c:f>
              <c:strCache>
                <c:ptCount val="1"/>
                <c:pt idx="0">
                  <c:v>Perfuração Cardwell</c:v>
                </c:pt>
              </c:strCache>
            </c:strRef>
          </c:cat>
          <c:val>
            <c:numRef>
              <c:f>Resumo!$D$15:$D$15</c:f>
              <c:numCache>
                <c:formatCode>"R$"\ #,##0.00</c:formatCode>
                <c:ptCount val="1"/>
                <c:pt idx="0">
                  <c:v>6359743.9130843263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E-4CE1-B495-D4D6932A0C2C}"/>
            </c:ext>
          </c:extLst>
        </c:ser>
        <c:ser>
          <c:idx val="1"/>
          <c:order val="1"/>
          <c:tx>
            <c:strRef>
              <c:f>Resumo!$F$14</c:f>
              <c:strCache>
                <c:ptCount val="1"/>
                <c:pt idx="0">
                  <c:v>Receita Líquida (R$)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Resumo!$B$15:$B$15</c:f>
              <c:strCache>
                <c:ptCount val="1"/>
                <c:pt idx="0">
                  <c:v>Perfuração Cardwell</c:v>
                </c:pt>
              </c:strCache>
            </c:strRef>
          </c:cat>
          <c:val>
            <c:numRef>
              <c:f>Resumo!$F$15:$F$15</c:f>
              <c:numCache>
                <c:formatCode>"R$"\ #,##0.00</c:formatCode>
                <c:ptCount val="1"/>
                <c:pt idx="0">
                  <c:v>6000418.3819950614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DE-4CE1-B495-D4D6932A0C2C}"/>
            </c:ext>
          </c:extLst>
        </c:ser>
        <c:ser>
          <c:idx val="2"/>
          <c:order val="2"/>
          <c:tx>
            <c:strRef>
              <c:f>Resumo!$G$14</c:f>
              <c:strCache>
                <c:ptCount val="1"/>
                <c:pt idx="0">
                  <c:v>Custo Total (R$)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Resumo!$B$15:$B$15</c:f>
              <c:strCache>
                <c:ptCount val="1"/>
                <c:pt idx="0">
                  <c:v>Perfuração Cardwell</c:v>
                </c:pt>
              </c:strCache>
            </c:strRef>
          </c:cat>
          <c:val>
            <c:numRef>
              <c:f>Resumo!$G$15:$G$15</c:f>
              <c:numCache>
                <c:formatCode>"R$"\ #,##0.00</c:formatCode>
                <c:ptCount val="1"/>
                <c:pt idx="0">
                  <c:v>4062111.8806127436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DE-4CE1-B495-D4D6932A0C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091041888"/>
        <c:axId val="1279483376"/>
      </c:barChart>
      <c:catAx>
        <c:axId val="109104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83376"/>
        <c:crosses val="autoZero"/>
        <c:auto val="1"/>
        <c:lblAlgn val="ctr"/>
        <c:lblOffset val="100"/>
        <c:noMultiLvlLbl val="0"/>
      </c:catAx>
      <c:valAx>
        <c:axId val="127948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04188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20518918136764297"/>
          <c:y val="6.6210641993994165E-2"/>
          <c:w val="0.6091836345877899"/>
          <c:h val="6.08773630089047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75001245902442"/>
          <c:y val="3.3697119101345832E-2"/>
          <c:w val="0.70145512277661171"/>
          <c:h val="0.9268615728618790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74-431D-BFD9-73FFF16089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Resumo!$H$14:$H$14</c:f>
              <c:strCache>
                <c:ptCount val="1"/>
                <c:pt idx="0">
                  <c:v>Custo M.O (R$)</c:v>
                </c:pt>
              </c:strCache>
            </c:strRef>
          </c:cat>
          <c:val>
            <c:numRef>
              <c:f>Resumo!#REF!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5-42AA-A4DB-D9968CBCBFC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512272002135103"/>
          <c:y val="2.2496023040435336E-2"/>
          <c:w val="0.48999417118462241"/>
          <c:h val="0.10338961178361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184148</xdr:colOff>
      <xdr:row>6</xdr:row>
      <xdr:rowOff>19418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F3E2CF-911D-491F-9813-BA1FF160D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2948" cy="990968"/>
        </a:xfrm>
        <a:prstGeom prst="rect">
          <a:avLst/>
        </a:prstGeom>
      </xdr:spPr>
    </xdr:pic>
    <xdr:clientData/>
  </xdr:twoCellAnchor>
  <xdr:twoCellAnchor editAs="oneCell">
    <xdr:from>
      <xdr:col>13</xdr:col>
      <xdr:colOff>276226</xdr:colOff>
      <xdr:row>3</xdr:row>
      <xdr:rowOff>76200</xdr:rowOff>
    </xdr:from>
    <xdr:to>
      <xdr:col>25</xdr:col>
      <xdr:colOff>552039</xdr:colOff>
      <xdr:row>14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E2051D4-FD4C-207D-FBCF-42E950CA6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5326" y="561975"/>
          <a:ext cx="7591013" cy="1819275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6</xdr:row>
      <xdr:rowOff>66675</xdr:rowOff>
    </xdr:from>
    <xdr:to>
      <xdr:col>5</xdr:col>
      <xdr:colOff>597339</xdr:colOff>
      <xdr:row>49</xdr:row>
      <xdr:rowOff>86699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B7A9EB5-2A7C-E3FD-5D00-B760C87F1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" y="1038225"/>
          <a:ext cx="3140514" cy="6982799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6</xdr:row>
      <xdr:rowOff>47625</xdr:rowOff>
    </xdr:from>
    <xdr:to>
      <xdr:col>13</xdr:col>
      <xdr:colOff>67267</xdr:colOff>
      <xdr:row>16</xdr:row>
      <xdr:rowOff>111360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92ECE67-53DC-A77B-03BD-781110BC2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67150" y="1019175"/>
          <a:ext cx="4239217" cy="1682985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17</xdr:row>
      <xdr:rowOff>57150</xdr:rowOff>
    </xdr:from>
    <xdr:to>
      <xdr:col>15</xdr:col>
      <xdr:colOff>448486</xdr:colOff>
      <xdr:row>48</xdr:row>
      <xdr:rowOff>102307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785A8D4-D395-47BA-D25F-A0FDDADCF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95725" y="2809875"/>
          <a:ext cx="5811061" cy="5064832"/>
        </a:xfrm>
        <a:prstGeom prst="rect">
          <a:avLst/>
        </a:prstGeom>
      </xdr:spPr>
    </xdr:pic>
    <xdr:clientData/>
  </xdr:twoCellAnchor>
  <xdr:twoCellAnchor editAs="oneCell">
    <xdr:from>
      <xdr:col>16</xdr:col>
      <xdr:colOff>142875</xdr:colOff>
      <xdr:row>17</xdr:row>
      <xdr:rowOff>66675</xdr:rowOff>
    </xdr:from>
    <xdr:to>
      <xdr:col>26</xdr:col>
      <xdr:colOff>35761</xdr:colOff>
      <xdr:row>37</xdr:row>
      <xdr:rowOff>6794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940A27E-27D4-5B41-12D6-B4B5C1064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775" y="2819400"/>
          <a:ext cx="5988886" cy="3178619"/>
        </a:xfrm>
        <a:prstGeom prst="rect">
          <a:avLst/>
        </a:prstGeom>
      </xdr:spPr>
    </xdr:pic>
    <xdr:clientData/>
  </xdr:twoCellAnchor>
  <xdr:twoCellAnchor editAs="oneCell">
    <xdr:from>
      <xdr:col>15</xdr:col>
      <xdr:colOff>441034</xdr:colOff>
      <xdr:row>38</xdr:row>
      <xdr:rowOff>28575</xdr:rowOff>
    </xdr:from>
    <xdr:to>
      <xdr:col>25</xdr:col>
      <xdr:colOff>55231</xdr:colOff>
      <xdr:row>44</xdr:row>
      <xdr:rowOff>73025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4DF3917-2A0E-63CE-2F6A-A72042450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99334" y="6181725"/>
          <a:ext cx="5710197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102659</xdr:colOff>
      <xdr:row>0</xdr:row>
      <xdr:rowOff>0</xdr:rowOff>
    </xdr:from>
    <xdr:to>
      <xdr:col>1</xdr:col>
      <xdr:colOff>1333499</xdr:colOff>
      <xdr:row>4</xdr:row>
      <xdr:rowOff>169701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D7C7ADF7-175C-45C3-89EE-B45C84199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59" y="0"/>
          <a:ext cx="2002365" cy="998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2158494</xdr:colOff>
      <xdr:row>0</xdr:row>
      <xdr:rowOff>83608</xdr:rowOff>
    </xdr:from>
    <xdr:to>
      <xdr:col>1</xdr:col>
      <xdr:colOff>277284</xdr:colOff>
      <xdr:row>5</xdr:row>
      <xdr:rowOff>46566</xdr:rowOff>
    </xdr:to>
    <xdr:pic>
      <xdr:nvPicPr>
        <xdr:cNvPr id="5" name="Picture 2" descr="Pemaco">
          <a:extLst>
            <a:ext uri="{FF2B5EF4-FFF2-40B4-BE49-F238E27FC236}">
              <a16:creationId xmlns:a16="http://schemas.microsoft.com/office/drawing/2014/main" id="{97A4245E-FF42-408B-A113-3D54241BA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8494" y="83608"/>
          <a:ext cx="1046140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84666</xdr:rowOff>
    </xdr:from>
    <xdr:to>
      <xdr:col>0</xdr:col>
      <xdr:colOff>2012948</xdr:colOff>
      <xdr:row>5</xdr:row>
      <xdr:rowOff>8834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05AE9A7-05D5-436C-AEBE-723F224F2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666"/>
          <a:ext cx="2012948" cy="9877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0</xdr:row>
      <xdr:rowOff>152400</xdr:rowOff>
    </xdr:from>
    <xdr:to>
      <xdr:col>5</xdr:col>
      <xdr:colOff>552450</xdr:colOff>
      <xdr:row>4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8877B0-C41F-4F02-B18B-94710EFFB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2300" y="152400"/>
          <a:ext cx="2784475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389731</xdr:colOff>
      <xdr:row>33</xdr:row>
      <xdr:rowOff>5554</xdr:rowOff>
    </xdr:from>
    <xdr:to>
      <xdr:col>10</xdr:col>
      <xdr:colOff>511177</xdr:colOff>
      <xdr:row>57</xdr:row>
      <xdr:rowOff>107156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1139B4A-1C02-08D7-2224-65E7C2415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3247</xdr:colOff>
      <xdr:row>35</xdr:row>
      <xdr:rowOff>143669</xdr:rowOff>
    </xdr:from>
    <xdr:to>
      <xdr:col>16</xdr:col>
      <xdr:colOff>436129</xdr:colOff>
      <xdr:row>58</xdr:row>
      <xdr:rowOff>107083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44958DF-8C6F-8A58-A6CA-FAABA455B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173181</xdr:colOff>
      <xdr:row>0</xdr:row>
      <xdr:rowOff>0</xdr:rowOff>
    </xdr:from>
    <xdr:to>
      <xdr:col>1</xdr:col>
      <xdr:colOff>1759409</xdr:colOff>
      <xdr:row>5</xdr:row>
      <xdr:rowOff>38468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078BFEF-217E-402F-BDF2-25BA82AA0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1" y="0"/>
          <a:ext cx="2012948" cy="9909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44450</xdr:rowOff>
    </xdr:from>
    <xdr:to>
      <xdr:col>16</xdr:col>
      <xdr:colOff>430046</xdr:colOff>
      <xdr:row>19</xdr:row>
      <xdr:rowOff>140098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AA603F-4A75-F882-1F99-F3A42FC95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300"/>
          <a:ext cx="10183646" cy="2848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qualp.com.br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C1CF-8ACD-4D20-AD96-C548449FE88D}">
  <dimension ref="A3:AO4"/>
  <sheetViews>
    <sheetView topLeftCell="A7" zoomScale="85" zoomScaleNormal="85" zoomScaleSheetLayoutView="100" workbookViewId="0">
      <selection activeCell="Q39" sqref="Q39"/>
    </sheetView>
  </sheetViews>
  <sheetFormatPr defaultRowHeight="12.5" x14ac:dyDescent="0.25"/>
  <cols>
    <col min="1" max="41" width="8.81640625" style="16"/>
  </cols>
  <sheetData>
    <row r="3" spans="1:12" ht="12.5" customHeight="1" x14ac:dyDescent="0.25">
      <c r="A3" s="554" t="s">
        <v>231</v>
      </c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</row>
    <row r="4" spans="1:12" ht="12.5" customHeight="1" x14ac:dyDescent="0.25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</row>
  </sheetData>
  <mergeCells count="1">
    <mergeCell ref="A3:L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30"/>
  <sheetViews>
    <sheetView tabSelected="1" topLeftCell="A206" zoomScale="70" zoomScaleNormal="70" zoomScaleSheetLayoutView="90" zoomScalePageLayoutView="60" workbookViewId="0">
      <selection activeCell="H126" sqref="H126"/>
    </sheetView>
  </sheetViews>
  <sheetFormatPr defaultColWidth="9.1796875" defaultRowHeight="15" customHeight="1" x14ac:dyDescent="0.3"/>
  <cols>
    <col min="1" max="1" width="11" style="20" customWidth="1"/>
    <col min="2" max="2" width="56.81640625" style="20" bestFit="1" customWidth="1"/>
    <col min="3" max="3" width="14.1796875" style="20" bestFit="1" customWidth="1"/>
    <col min="4" max="4" width="17" style="20" bestFit="1" customWidth="1"/>
    <col min="5" max="5" width="19.08984375" style="20" bestFit="1" customWidth="1"/>
    <col min="6" max="6" width="21.1796875" style="20" customWidth="1"/>
    <col min="7" max="7" width="14.90625" style="20" customWidth="1"/>
    <col min="8" max="8" width="16.08984375" style="20" bestFit="1" customWidth="1"/>
    <col min="9" max="9" width="15" style="20" customWidth="1"/>
    <col min="10" max="10" width="20.1796875" style="20" bestFit="1" customWidth="1"/>
    <col min="11" max="11" width="2.6328125" style="20" customWidth="1"/>
    <col min="12" max="12" width="22.08984375" style="20" bestFit="1" customWidth="1"/>
    <col min="13" max="13" width="230.36328125" style="20" bestFit="1" customWidth="1"/>
    <col min="14" max="14" width="14.1796875" style="1" customWidth="1"/>
    <col min="15" max="15" width="14.453125" style="1" bestFit="1" customWidth="1"/>
    <col min="16" max="16" width="18.81640625" style="1" customWidth="1"/>
    <col min="17" max="17" width="14.453125" style="1" customWidth="1"/>
    <col min="18" max="18" width="15" style="1" customWidth="1"/>
    <col min="19" max="16384" width="9.1796875" style="1"/>
  </cols>
  <sheetData>
    <row r="2" spans="1:13" s="5" customFormat="1" ht="21" x14ac:dyDescent="0.35">
      <c r="A2" s="17"/>
      <c r="B2" s="18"/>
      <c r="C2" s="551" t="s">
        <v>232</v>
      </c>
      <c r="D2" s="551"/>
      <c r="E2" s="551"/>
      <c r="F2" s="551"/>
      <c r="G2" s="551"/>
      <c r="H2" s="156"/>
      <c r="I2" s="156"/>
      <c r="J2" s="156"/>
      <c r="K2" s="156"/>
      <c r="L2" s="156"/>
      <c r="M2" s="19"/>
    </row>
    <row r="3" spans="1:13" s="5" customFormat="1" ht="14.5" x14ac:dyDescent="0.35">
      <c r="A3" s="17"/>
      <c r="B3" s="18"/>
      <c r="C3" s="552" t="s">
        <v>233</v>
      </c>
      <c r="D3" s="552"/>
      <c r="E3" s="552"/>
      <c r="F3" s="552"/>
      <c r="G3" s="552"/>
      <c r="H3" s="157"/>
      <c r="I3" s="157"/>
      <c r="J3" s="157"/>
      <c r="K3" s="157"/>
      <c r="L3" s="157"/>
      <c r="M3" s="19"/>
    </row>
    <row r="4" spans="1:13" s="5" customFormat="1" ht="14.5" x14ac:dyDescent="0.35">
      <c r="A4" s="17"/>
      <c r="B4" s="18"/>
      <c r="C4" s="552"/>
      <c r="D4" s="552"/>
      <c r="E4" s="552"/>
      <c r="F4" s="552"/>
      <c r="G4" s="552"/>
      <c r="H4" s="157"/>
      <c r="I4" s="157"/>
      <c r="J4" s="157"/>
      <c r="K4" s="157"/>
      <c r="L4" s="157"/>
      <c r="M4" s="19"/>
    </row>
    <row r="5" spans="1:13" s="23" customFormat="1" thickBot="1" x14ac:dyDescent="0.4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3" s="23" customFormat="1" ht="15" customHeight="1" x14ac:dyDescent="0.35">
      <c r="A6" s="530" t="s">
        <v>306</v>
      </c>
      <c r="B6" s="531"/>
      <c r="C6" s="71"/>
      <c r="D6" s="522" t="s">
        <v>307</v>
      </c>
      <c r="E6" s="522"/>
      <c r="F6" s="71"/>
      <c r="G6" s="71" t="s">
        <v>234</v>
      </c>
      <c r="H6" s="71"/>
      <c r="I6" s="522" t="s">
        <v>240</v>
      </c>
      <c r="J6" s="523"/>
      <c r="K6" s="37"/>
      <c r="L6" s="129" t="s">
        <v>3</v>
      </c>
      <c r="M6" s="129" t="s">
        <v>229</v>
      </c>
    </row>
    <row r="7" spans="1:13" s="23" customFormat="1" ht="15" customHeight="1" x14ac:dyDescent="0.35">
      <c r="A7" s="72"/>
      <c r="B7" s="70" t="s">
        <v>310</v>
      </c>
      <c r="C7" s="38" t="s">
        <v>222</v>
      </c>
      <c r="D7" s="539" t="s">
        <v>629</v>
      </c>
      <c r="E7" s="539"/>
      <c r="F7" s="38" t="s">
        <v>239</v>
      </c>
      <c r="G7" s="329">
        <v>870</v>
      </c>
      <c r="H7" s="38"/>
      <c r="I7" s="377" t="s">
        <v>524</v>
      </c>
      <c r="J7" s="386">
        <v>440</v>
      </c>
      <c r="K7" s="35"/>
      <c r="L7" s="119" t="s">
        <v>244</v>
      </c>
      <c r="M7" s="120" t="s">
        <v>245</v>
      </c>
    </row>
    <row r="8" spans="1:13" s="23" customFormat="1" ht="15" customHeight="1" thickBot="1" x14ac:dyDescent="0.4">
      <c r="A8" s="117"/>
      <c r="B8" s="70" t="s">
        <v>370</v>
      </c>
      <c r="C8" s="38" t="s">
        <v>1</v>
      </c>
      <c r="D8" s="539" t="s">
        <v>630</v>
      </c>
      <c r="E8" s="539"/>
      <c r="F8" s="38" t="s">
        <v>236</v>
      </c>
      <c r="G8" s="329"/>
      <c r="H8" s="38"/>
      <c r="I8" s="377" t="s">
        <v>243</v>
      </c>
      <c r="J8" s="386">
        <v>464</v>
      </c>
      <c r="K8" s="35"/>
      <c r="L8" s="119" t="s">
        <v>244</v>
      </c>
      <c r="M8" s="120" t="s">
        <v>418</v>
      </c>
    </row>
    <row r="9" spans="1:13" s="23" customFormat="1" ht="15" customHeight="1" thickTop="1" thickBot="1" x14ac:dyDescent="0.4">
      <c r="A9" s="150" t="s">
        <v>369</v>
      </c>
      <c r="B9" s="70" t="s">
        <v>387</v>
      </c>
      <c r="C9" s="38" t="s">
        <v>0</v>
      </c>
      <c r="D9" s="539" t="s">
        <v>637</v>
      </c>
      <c r="E9" s="539"/>
      <c r="F9" s="38" t="s">
        <v>235</v>
      </c>
      <c r="G9" s="329">
        <v>280</v>
      </c>
      <c r="H9" s="38"/>
      <c r="I9" s="377" t="s">
        <v>242</v>
      </c>
      <c r="J9" s="386">
        <v>337</v>
      </c>
      <c r="K9" s="35"/>
      <c r="L9" s="119" t="s">
        <v>244</v>
      </c>
      <c r="M9" s="120" t="s">
        <v>248</v>
      </c>
    </row>
    <row r="10" spans="1:13" s="23" customFormat="1" ht="15" customHeight="1" thickTop="1" thickBot="1" x14ac:dyDescent="0.4">
      <c r="A10" s="233" t="s">
        <v>369</v>
      </c>
      <c r="B10" s="70" t="s">
        <v>388</v>
      </c>
      <c r="C10" s="35"/>
      <c r="D10" s="38"/>
      <c r="E10" s="38"/>
      <c r="F10" s="38" t="s">
        <v>237</v>
      </c>
      <c r="G10" s="329">
        <v>300</v>
      </c>
      <c r="H10" s="38"/>
      <c r="I10" s="377" t="s">
        <v>241</v>
      </c>
      <c r="J10" s="386">
        <v>439</v>
      </c>
      <c r="K10" s="35"/>
      <c r="L10" s="119" t="s">
        <v>244</v>
      </c>
      <c r="M10" s="120" t="s">
        <v>247</v>
      </c>
    </row>
    <row r="11" spans="1:13" s="20" customFormat="1" ht="15" customHeight="1" thickTop="1" x14ac:dyDescent="0.3">
      <c r="A11" s="73"/>
      <c r="B11" s="68"/>
      <c r="C11" s="69" t="s">
        <v>371</v>
      </c>
      <c r="D11" s="532">
        <f>$I$42</f>
        <v>100</v>
      </c>
      <c r="E11" s="532"/>
      <c r="F11" s="38" t="s">
        <v>238</v>
      </c>
      <c r="G11" s="330"/>
      <c r="H11" s="38"/>
      <c r="I11" s="38" t="s">
        <v>532</v>
      </c>
      <c r="J11" s="386">
        <v>325</v>
      </c>
      <c r="K11" s="36"/>
      <c r="L11" s="119" t="s">
        <v>244</v>
      </c>
      <c r="M11" s="120" t="s">
        <v>246</v>
      </c>
    </row>
    <row r="12" spans="1:13" ht="15" customHeight="1" thickBot="1" x14ac:dyDescent="0.35">
      <c r="A12" s="331"/>
      <c r="B12" s="24"/>
      <c r="C12" s="24"/>
      <c r="D12" s="24"/>
      <c r="E12" s="24"/>
      <c r="F12" s="24"/>
      <c r="G12" s="24"/>
      <c r="H12" s="24"/>
      <c r="I12" s="24"/>
      <c r="J12" s="332"/>
      <c r="L12" s="121"/>
      <c r="M12" s="122"/>
    </row>
    <row r="13" spans="1:13" ht="15" customHeight="1" x14ac:dyDescent="0.3">
      <c r="A13" s="535" t="s">
        <v>2</v>
      </c>
      <c r="B13" s="536"/>
      <c r="C13" s="536"/>
      <c r="D13" s="536"/>
      <c r="E13" s="536"/>
      <c r="F13" s="536"/>
      <c r="G13" s="536"/>
      <c r="H13" s="536"/>
      <c r="I13" s="536"/>
      <c r="J13" s="537"/>
      <c r="K13" s="25"/>
      <c r="L13" s="123"/>
      <c r="M13" s="124"/>
    </row>
    <row r="14" spans="1:13" ht="15" customHeight="1" x14ac:dyDescent="0.3">
      <c r="A14" s="225" t="s">
        <v>23</v>
      </c>
      <c r="B14" s="538" t="s">
        <v>274</v>
      </c>
      <c r="C14" s="538"/>
      <c r="D14" s="538"/>
      <c r="E14" s="538"/>
      <c r="F14" s="538"/>
      <c r="G14" s="538"/>
      <c r="H14" s="538"/>
      <c r="I14" s="58" t="s">
        <v>249</v>
      </c>
      <c r="J14" s="333" t="s">
        <v>250</v>
      </c>
      <c r="K14" s="25"/>
      <c r="L14" s="125"/>
      <c r="M14" s="126"/>
    </row>
    <row r="15" spans="1:13" ht="15" customHeight="1" x14ac:dyDescent="0.3">
      <c r="A15" s="164" t="s">
        <v>25</v>
      </c>
      <c r="B15" s="526" t="s">
        <v>254</v>
      </c>
      <c r="C15" s="527"/>
      <c r="D15" s="527"/>
      <c r="E15" s="527"/>
      <c r="F15" s="527"/>
      <c r="G15" s="527"/>
      <c r="H15" s="527"/>
      <c r="I15" s="59">
        <v>8</v>
      </c>
      <c r="J15" s="230"/>
      <c r="K15" s="25"/>
      <c r="L15" s="121" t="s">
        <v>145</v>
      </c>
      <c r="M15" s="127" t="s">
        <v>266</v>
      </c>
    </row>
    <row r="16" spans="1:13" ht="15" customHeight="1" x14ac:dyDescent="0.3">
      <c r="A16" s="334" t="s">
        <v>27</v>
      </c>
      <c r="B16" s="528" t="s">
        <v>260</v>
      </c>
      <c r="C16" s="529"/>
      <c r="D16" s="529"/>
      <c r="E16" s="529"/>
      <c r="F16" s="529"/>
      <c r="G16" s="529"/>
      <c r="H16" s="529"/>
      <c r="I16" s="60">
        <v>5</v>
      </c>
      <c r="J16" s="335"/>
      <c r="K16" s="25"/>
      <c r="L16" s="121" t="s">
        <v>145</v>
      </c>
      <c r="M16" s="122" t="s">
        <v>255</v>
      </c>
    </row>
    <row r="17" spans="1:13" ht="15" customHeight="1" x14ac:dyDescent="0.3">
      <c r="A17" s="533" t="s">
        <v>273</v>
      </c>
      <c r="B17" s="534"/>
      <c r="C17" s="65" t="s">
        <v>5</v>
      </c>
      <c r="D17" s="65" t="s">
        <v>6</v>
      </c>
      <c r="E17" s="65" t="s">
        <v>7</v>
      </c>
      <c r="F17" s="65" t="s">
        <v>8</v>
      </c>
      <c r="G17" s="336" t="s">
        <v>9</v>
      </c>
      <c r="H17" s="65" t="s">
        <v>10</v>
      </c>
      <c r="I17" s="524"/>
      <c r="J17" s="525"/>
      <c r="K17" s="25"/>
      <c r="L17" s="121" t="s">
        <v>145</v>
      </c>
      <c r="M17" s="122"/>
    </row>
    <row r="18" spans="1:13" ht="15" customHeight="1" x14ac:dyDescent="0.3">
      <c r="A18" s="227" t="s">
        <v>28</v>
      </c>
      <c r="B18" s="67" t="s">
        <v>256</v>
      </c>
      <c r="C18" s="64">
        <v>26</v>
      </c>
      <c r="D18" s="63">
        <v>20</v>
      </c>
      <c r="E18" s="63">
        <v>0</v>
      </c>
      <c r="F18" s="63">
        <v>11.5</v>
      </c>
      <c r="G18" s="302">
        <f>F18-E18</f>
        <v>11.5</v>
      </c>
      <c r="H18" s="63">
        <v>10</v>
      </c>
      <c r="I18" s="192">
        <f>ROUNDUP(G18/H18,0)</f>
        <v>2</v>
      </c>
      <c r="J18" s="226">
        <f t="shared" ref="J18:J41" si="0">I18</f>
        <v>2</v>
      </c>
      <c r="K18" s="25"/>
      <c r="L18" s="121" t="s">
        <v>145</v>
      </c>
      <c r="M18" s="122"/>
    </row>
    <row r="19" spans="1:13" ht="15" customHeight="1" x14ac:dyDescent="0.3">
      <c r="A19" s="227" t="s">
        <v>29</v>
      </c>
      <c r="B19" s="67" t="s">
        <v>11</v>
      </c>
      <c r="C19" s="64">
        <f>$C$18</f>
        <v>26</v>
      </c>
      <c r="D19" s="63">
        <f>$D$18</f>
        <v>20</v>
      </c>
      <c r="E19" s="63">
        <f>$E$18</f>
        <v>0</v>
      </c>
      <c r="F19" s="89">
        <f>$F$18</f>
        <v>11.5</v>
      </c>
      <c r="G19" s="302">
        <f>F19-E19</f>
        <v>11.5</v>
      </c>
      <c r="H19" s="63">
        <v>10</v>
      </c>
      <c r="I19" s="192">
        <f>ROUNDUP(G19/H19,0)</f>
        <v>2</v>
      </c>
      <c r="J19" s="226">
        <f t="shared" si="0"/>
        <v>2</v>
      </c>
      <c r="K19" s="25"/>
      <c r="L19" s="121" t="s">
        <v>145</v>
      </c>
      <c r="M19" s="122"/>
    </row>
    <row r="20" spans="1:13" ht="15" customHeight="1" x14ac:dyDescent="0.3">
      <c r="A20" s="227" t="s">
        <v>30</v>
      </c>
      <c r="B20" s="67" t="s">
        <v>261</v>
      </c>
      <c r="C20" s="64">
        <f>$C$18</f>
        <v>26</v>
      </c>
      <c r="D20" s="63">
        <f>E18</f>
        <v>0</v>
      </c>
      <c r="E20" s="63">
        <f>$E$19</f>
        <v>0</v>
      </c>
      <c r="F20" s="89">
        <f>$F$19</f>
        <v>11.5</v>
      </c>
      <c r="G20" s="302">
        <f>F20-E20</f>
        <v>11.5</v>
      </c>
      <c r="H20" s="63">
        <v>10</v>
      </c>
      <c r="I20" s="192">
        <f>ROUNDUP(G20/H20,0)</f>
        <v>2</v>
      </c>
      <c r="J20" s="226">
        <f t="shared" si="0"/>
        <v>2</v>
      </c>
      <c r="K20" s="25"/>
      <c r="L20" s="121" t="s">
        <v>145</v>
      </c>
      <c r="M20" s="122"/>
    </row>
    <row r="21" spans="1:13" ht="15" customHeight="1" x14ac:dyDescent="0.3">
      <c r="A21" s="227" t="s">
        <v>31</v>
      </c>
      <c r="B21" s="67" t="s">
        <v>257</v>
      </c>
      <c r="C21" s="64">
        <v>18</v>
      </c>
      <c r="D21" s="63">
        <v>14</v>
      </c>
      <c r="E21" s="63">
        <f>$F$18</f>
        <v>11.5</v>
      </c>
      <c r="F21" s="63">
        <v>150</v>
      </c>
      <c r="G21" s="302">
        <f>F21-E21</f>
        <v>138.5</v>
      </c>
      <c r="H21" s="63">
        <v>50</v>
      </c>
      <c r="I21" s="295">
        <f>ROUNDUP(G21/H21,0)</f>
        <v>3</v>
      </c>
      <c r="J21" s="226">
        <f t="shared" si="0"/>
        <v>3</v>
      </c>
      <c r="K21" s="25"/>
      <c r="L21" s="121" t="s">
        <v>145</v>
      </c>
      <c r="M21" s="128" t="s">
        <v>431</v>
      </c>
    </row>
    <row r="22" spans="1:13" ht="15" customHeight="1" x14ac:dyDescent="0.3">
      <c r="A22" s="227" t="s">
        <v>33</v>
      </c>
      <c r="B22" s="475" t="s">
        <v>262</v>
      </c>
      <c r="C22" s="476"/>
      <c r="D22" s="476"/>
      <c r="E22" s="476"/>
      <c r="F22" s="476"/>
      <c r="G22" s="476"/>
      <c r="H22" s="476"/>
      <c r="I22" s="295">
        <v>1</v>
      </c>
      <c r="J22" s="226">
        <f t="shared" si="0"/>
        <v>1</v>
      </c>
      <c r="K22" s="25"/>
      <c r="L22" s="121" t="s">
        <v>145</v>
      </c>
      <c r="M22" s="122"/>
    </row>
    <row r="23" spans="1:13" ht="15" customHeight="1" x14ac:dyDescent="0.4">
      <c r="A23" s="227" t="s">
        <v>275</v>
      </c>
      <c r="B23" s="67" t="s">
        <v>258</v>
      </c>
      <c r="C23" s="64">
        <v>17.5</v>
      </c>
      <c r="D23" s="63">
        <v>14</v>
      </c>
      <c r="E23" s="89">
        <f>$F$21</f>
        <v>150</v>
      </c>
      <c r="F23" s="63">
        <v>400</v>
      </c>
      <c r="G23" s="302">
        <f>F23-E23</f>
        <v>250</v>
      </c>
      <c r="H23" s="63">
        <v>15</v>
      </c>
      <c r="I23" s="192">
        <f>ROUNDUP(G23/H23,0)</f>
        <v>17</v>
      </c>
      <c r="J23" s="226">
        <f t="shared" si="0"/>
        <v>17</v>
      </c>
      <c r="K23" s="25"/>
      <c r="L23" s="121" t="s">
        <v>145</v>
      </c>
      <c r="M23" s="147" t="s">
        <v>429</v>
      </c>
    </row>
    <row r="24" spans="1:13" ht="15" customHeight="1" x14ac:dyDescent="0.4">
      <c r="A24" s="227" t="s">
        <v>275</v>
      </c>
      <c r="B24" s="67" t="s">
        <v>258</v>
      </c>
      <c r="C24" s="64">
        <v>17.5</v>
      </c>
      <c r="D24" s="63">
        <v>10</v>
      </c>
      <c r="E24" s="89">
        <f>F23</f>
        <v>400</v>
      </c>
      <c r="F24" s="63">
        <v>750</v>
      </c>
      <c r="G24" s="302">
        <f>F24-E24</f>
        <v>350</v>
      </c>
      <c r="H24" s="63">
        <v>15</v>
      </c>
      <c r="I24" s="192">
        <f>ROUNDUP(G24/H24,0)</f>
        <v>24</v>
      </c>
      <c r="J24" s="226">
        <f t="shared" si="0"/>
        <v>24</v>
      </c>
      <c r="K24" s="25"/>
      <c r="L24" s="121" t="s">
        <v>145</v>
      </c>
      <c r="M24" s="147" t="s">
        <v>429</v>
      </c>
    </row>
    <row r="25" spans="1:13" ht="15" customHeight="1" x14ac:dyDescent="0.3">
      <c r="A25" s="227" t="s">
        <v>34</v>
      </c>
      <c r="B25" s="475" t="s">
        <v>12</v>
      </c>
      <c r="C25" s="476"/>
      <c r="D25" s="476"/>
      <c r="E25" s="476"/>
      <c r="F25" s="476"/>
      <c r="G25" s="476"/>
      <c r="H25" s="476"/>
      <c r="I25" s="295">
        <v>1</v>
      </c>
      <c r="J25" s="226">
        <f t="shared" si="0"/>
        <v>1</v>
      </c>
      <c r="K25" s="25"/>
      <c r="L25" s="121" t="s">
        <v>145</v>
      </c>
      <c r="M25" s="122"/>
    </row>
    <row r="26" spans="1:13" ht="15" customHeight="1" x14ac:dyDescent="0.3">
      <c r="A26" s="227" t="s">
        <v>35</v>
      </c>
      <c r="B26" s="67" t="s">
        <v>259</v>
      </c>
      <c r="C26" s="64">
        <v>17.5</v>
      </c>
      <c r="D26" s="63">
        <v>8</v>
      </c>
      <c r="E26" s="89">
        <f>F24</f>
        <v>750</v>
      </c>
      <c r="F26" s="63">
        <v>870</v>
      </c>
      <c r="G26" s="302">
        <f>F26-E26</f>
        <v>120</v>
      </c>
      <c r="H26" s="63">
        <v>35</v>
      </c>
      <c r="I26" s="192">
        <f>ROUNDUP(G26/H26,0)</f>
        <v>4</v>
      </c>
      <c r="J26" s="226">
        <f t="shared" si="0"/>
        <v>4</v>
      </c>
      <c r="K26" s="25"/>
      <c r="L26" s="121" t="s">
        <v>145</v>
      </c>
      <c r="M26" s="128" t="s">
        <v>430</v>
      </c>
    </row>
    <row r="27" spans="1:13" ht="15" customHeight="1" x14ac:dyDescent="0.3">
      <c r="A27" s="227" t="s">
        <v>276</v>
      </c>
      <c r="B27" s="475" t="s">
        <v>265</v>
      </c>
      <c r="C27" s="476"/>
      <c r="D27" s="476"/>
      <c r="E27" s="476"/>
      <c r="F27" s="476"/>
      <c r="G27" s="476"/>
      <c r="H27" s="476"/>
      <c r="I27" s="295">
        <v>1</v>
      </c>
      <c r="J27" s="226">
        <f t="shared" si="0"/>
        <v>1</v>
      </c>
      <c r="K27" s="25"/>
      <c r="L27" s="121" t="s">
        <v>145</v>
      </c>
      <c r="M27" s="122" t="s">
        <v>272</v>
      </c>
    </row>
    <row r="28" spans="1:13" ht="15" customHeight="1" x14ac:dyDescent="0.3">
      <c r="A28" s="227" t="s">
        <v>37</v>
      </c>
      <c r="B28" s="475" t="s">
        <v>262</v>
      </c>
      <c r="C28" s="476"/>
      <c r="D28" s="476"/>
      <c r="E28" s="476"/>
      <c r="F28" s="476"/>
      <c r="G28" s="476"/>
      <c r="H28" s="476"/>
      <c r="I28" s="295">
        <v>1</v>
      </c>
      <c r="J28" s="226">
        <f t="shared" si="0"/>
        <v>1</v>
      </c>
      <c r="K28" s="25"/>
      <c r="L28" s="121" t="s">
        <v>145</v>
      </c>
      <c r="M28" s="122"/>
    </row>
    <row r="29" spans="1:13" ht="15" customHeight="1" x14ac:dyDescent="0.3">
      <c r="A29" s="227" t="s">
        <v>39</v>
      </c>
      <c r="B29" s="67" t="s">
        <v>263</v>
      </c>
      <c r="C29" s="64">
        <v>20</v>
      </c>
      <c r="D29" s="63">
        <v>8</v>
      </c>
      <c r="E29" s="63">
        <f>E26</f>
        <v>750</v>
      </c>
      <c r="F29" s="63">
        <f>F26</f>
        <v>870</v>
      </c>
      <c r="G29" s="302">
        <f>F29-E29</f>
        <v>120</v>
      </c>
      <c r="H29" s="63">
        <v>30</v>
      </c>
      <c r="I29" s="192">
        <f>ROUNDUP(G29/H29,0)</f>
        <v>4</v>
      </c>
      <c r="J29" s="226">
        <f t="shared" si="0"/>
        <v>4</v>
      </c>
      <c r="K29" s="25"/>
      <c r="L29" s="121" t="s">
        <v>145</v>
      </c>
      <c r="M29" s="122"/>
    </row>
    <row r="30" spans="1:13" ht="15" customHeight="1" x14ac:dyDescent="0.3">
      <c r="A30" s="227" t="s">
        <v>44</v>
      </c>
      <c r="B30" s="475" t="s">
        <v>264</v>
      </c>
      <c r="C30" s="476"/>
      <c r="D30" s="476"/>
      <c r="E30" s="476"/>
      <c r="F30" s="476"/>
      <c r="G30" s="476"/>
      <c r="H30" s="476"/>
      <c r="I30" s="295">
        <v>1</v>
      </c>
      <c r="J30" s="226">
        <f t="shared" si="0"/>
        <v>1</v>
      </c>
      <c r="K30" s="25"/>
      <c r="L30" s="121" t="s">
        <v>145</v>
      </c>
      <c r="M30" s="122" t="s">
        <v>270</v>
      </c>
    </row>
    <row r="31" spans="1:13" ht="15" customHeight="1" x14ac:dyDescent="0.3">
      <c r="A31" s="227" t="s">
        <v>47</v>
      </c>
      <c r="B31" s="475" t="s">
        <v>13</v>
      </c>
      <c r="C31" s="476"/>
      <c r="D31" s="476"/>
      <c r="E31" s="476"/>
      <c r="F31" s="476"/>
      <c r="G31" s="476"/>
      <c r="H31" s="476"/>
      <c r="I31" s="295">
        <v>1</v>
      </c>
      <c r="J31" s="226">
        <f t="shared" si="0"/>
        <v>1</v>
      </c>
      <c r="K31" s="25"/>
      <c r="L31" s="121" t="s">
        <v>145</v>
      </c>
      <c r="M31" s="122" t="s">
        <v>268</v>
      </c>
    </row>
    <row r="32" spans="1:13" ht="15" customHeight="1" x14ac:dyDescent="0.3">
      <c r="A32" s="227" t="s">
        <v>49</v>
      </c>
      <c r="B32" s="475" t="s">
        <v>14</v>
      </c>
      <c r="C32" s="476"/>
      <c r="D32" s="476"/>
      <c r="E32" s="63">
        <v>0</v>
      </c>
      <c r="F32" s="89">
        <f>$G$7</f>
        <v>870</v>
      </c>
      <c r="G32" s="302">
        <f>F32-E32</f>
        <v>870</v>
      </c>
      <c r="H32" s="63">
        <v>400</v>
      </c>
      <c r="I32" s="192">
        <f>ROUNDUP(G32/H32,0)</f>
        <v>3</v>
      </c>
      <c r="J32" s="226">
        <f t="shared" si="0"/>
        <v>3</v>
      </c>
      <c r="K32" s="25"/>
      <c r="L32" s="121" t="s">
        <v>145</v>
      </c>
      <c r="M32" s="122" t="s">
        <v>268</v>
      </c>
    </row>
    <row r="33" spans="1:14" ht="15" customHeight="1" x14ac:dyDescent="0.3">
      <c r="A33" s="227" t="s">
        <v>51</v>
      </c>
      <c r="B33" s="475" t="s">
        <v>15</v>
      </c>
      <c r="C33" s="476"/>
      <c r="D33" s="476"/>
      <c r="E33" s="63">
        <v>0</v>
      </c>
      <c r="F33" s="89">
        <f>$G$7</f>
        <v>870</v>
      </c>
      <c r="G33" s="302">
        <f>F33-E33</f>
        <v>870</v>
      </c>
      <c r="H33" s="63">
        <v>400</v>
      </c>
      <c r="I33" s="192">
        <f>ROUNDUP(G33/H33,0)</f>
        <v>3</v>
      </c>
      <c r="J33" s="226">
        <f t="shared" si="0"/>
        <v>3</v>
      </c>
      <c r="K33" s="25"/>
      <c r="L33" s="121" t="s">
        <v>145</v>
      </c>
      <c r="M33" s="122" t="s">
        <v>491</v>
      </c>
    </row>
    <row r="34" spans="1:14" ht="15" customHeight="1" x14ac:dyDescent="0.3">
      <c r="A34" s="227" t="s">
        <v>490</v>
      </c>
      <c r="B34" s="475" t="s">
        <v>488</v>
      </c>
      <c r="C34" s="476"/>
      <c r="D34" s="476"/>
      <c r="E34" s="553" t="s">
        <v>267</v>
      </c>
      <c r="F34" s="553"/>
      <c r="G34" s="63">
        <f>$G$7</f>
        <v>870</v>
      </c>
      <c r="H34" s="63">
        <v>870</v>
      </c>
      <c r="I34" s="192">
        <f>ROUNDUP(G34/H34,0)</f>
        <v>1</v>
      </c>
      <c r="J34" s="226">
        <f t="shared" si="0"/>
        <v>1</v>
      </c>
      <c r="K34" s="25"/>
      <c r="L34" s="121" t="s">
        <v>145</v>
      </c>
      <c r="M34" s="121"/>
      <c r="N34" s="122" t="s">
        <v>489</v>
      </c>
    </row>
    <row r="35" spans="1:14" ht="15" customHeight="1" x14ac:dyDescent="0.3">
      <c r="A35" s="227" t="s">
        <v>52</v>
      </c>
      <c r="B35" s="475" t="s">
        <v>17</v>
      </c>
      <c r="C35" s="476"/>
      <c r="D35" s="476"/>
      <c r="E35" s="553" t="s">
        <v>18</v>
      </c>
      <c r="F35" s="553"/>
      <c r="G35" s="63">
        <v>24</v>
      </c>
      <c r="H35" s="302">
        <v>10</v>
      </c>
      <c r="I35" s="192">
        <f>ROUNDUP(G35/H35,0)</f>
        <v>3</v>
      </c>
      <c r="J35" s="226">
        <f t="shared" si="0"/>
        <v>3</v>
      </c>
      <c r="K35" s="25"/>
      <c r="L35" s="121" t="s">
        <v>145</v>
      </c>
      <c r="M35" s="122" t="s">
        <v>271</v>
      </c>
    </row>
    <row r="36" spans="1:14" ht="15" customHeight="1" x14ac:dyDescent="0.3">
      <c r="A36" s="227" t="s">
        <v>277</v>
      </c>
      <c r="B36" s="475" t="s">
        <v>20</v>
      </c>
      <c r="C36" s="476"/>
      <c r="D36" s="476"/>
      <c r="E36" s="473" t="s">
        <v>16</v>
      </c>
      <c r="F36" s="474"/>
      <c r="G36" s="63">
        <f>IF($G$9&gt;0,$G$9+ 20, 0.7*$G$7)</f>
        <v>300</v>
      </c>
      <c r="H36" s="63">
        <v>300</v>
      </c>
      <c r="I36" s="192">
        <f>G36/H36</f>
        <v>1</v>
      </c>
      <c r="J36" s="226">
        <f t="shared" si="0"/>
        <v>1</v>
      </c>
      <c r="K36" s="25"/>
      <c r="L36" s="121" t="s">
        <v>145</v>
      </c>
      <c r="M36" s="122" t="s">
        <v>269</v>
      </c>
    </row>
    <row r="37" spans="1:14" ht="15" customHeight="1" x14ac:dyDescent="0.3">
      <c r="A37" s="227" t="s">
        <v>278</v>
      </c>
      <c r="B37" s="507" t="s">
        <v>21</v>
      </c>
      <c r="C37" s="508"/>
      <c r="D37" s="508"/>
      <c r="E37" s="473" t="s">
        <v>18</v>
      </c>
      <c r="F37" s="474"/>
      <c r="G37" s="63">
        <v>24</v>
      </c>
      <c r="H37" s="302">
        <v>24</v>
      </c>
      <c r="I37" s="192">
        <f>ROUNDUP(G37/H37,1)</f>
        <v>1</v>
      </c>
      <c r="J37" s="226">
        <f t="shared" si="0"/>
        <v>1</v>
      </c>
      <c r="K37" s="25"/>
      <c r="L37" s="121" t="s">
        <v>145</v>
      </c>
      <c r="M37" s="122"/>
    </row>
    <row r="38" spans="1:14" ht="15" customHeight="1" x14ac:dyDescent="0.3">
      <c r="A38" s="227" t="s">
        <v>279</v>
      </c>
      <c r="B38" s="507" t="s">
        <v>469</v>
      </c>
      <c r="C38" s="508"/>
      <c r="D38" s="508"/>
      <c r="E38" s="473" t="s">
        <v>18</v>
      </c>
      <c r="F38" s="474"/>
      <c r="G38" s="63">
        <v>100</v>
      </c>
      <c r="H38" s="302">
        <v>24</v>
      </c>
      <c r="I38" s="192">
        <f>ROUNDUP(G38/H38,1)</f>
        <v>4.1999999999999993</v>
      </c>
      <c r="J38" s="226">
        <f t="shared" si="0"/>
        <v>4.1999999999999993</v>
      </c>
      <c r="K38" s="25"/>
      <c r="L38" s="121" t="s">
        <v>145</v>
      </c>
      <c r="M38" s="122"/>
    </row>
    <row r="39" spans="1:14" ht="15" customHeight="1" x14ac:dyDescent="0.3">
      <c r="A39" s="227" t="s">
        <v>280</v>
      </c>
      <c r="B39" s="475" t="s">
        <v>19</v>
      </c>
      <c r="C39" s="476"/>
      <c r="D39" s="476"/>
      <c r="E39" s="476"/>
      <c r="F39" s="476"/>
      <c r="G39" s="476"/>
      <c r="H39" s="476"/>
      <c r="I39" s="192">
        <v>1</v>
      </c>
      <c r="J39" s="226">
        <f t="shared" si="0"/>
        <v>1</v>
      </c>
      <c r="K39" s="25"/>
      <c r="L39" s="121" t="s">
        <v>145</v>
      </c>
      <c r="M39" s="122"/>
    </row>
    <row r="40" spans="1:14" ht="15" customHeight="1" x14ac:dyDescent="0.3">
      <c r="A40" s="227" t="s">
        <v>281</v>
      </c>
      <c r="B40" s="544" t="s">
        <v>22</v>
      </c>
      <c r="C40" s="529"/>
      <c r="D40" s="529"/>
      <c r="E40" s="529"/>
      <c r="F40" s="529"/>
      <c r="G40" s="545"/>
      <c r="H40" s="546"/>
      <c r="I40" s="192">
        <f>I16</f>
        <v>5</v>
      </c>
      <c r="J40" s="226">
        <f t="shared" si="0"/>
        <v>5</v>
      </c>
      <c r="K40" s="25"/>
      <c r="L40" s="121" t="s">
        <v>145</v>
      </c>
      <c r="M40" s="122"/>
    </row>
    <row r="41" spans="1:14" s="3" customFormat="1" ht="15" customHeight="1" x14ac:dyDescent="0.3">
      <c r="A41" s="227" t="s">
        <v>468</v>
      </c>
      <c r="B41" s="291" t="s">
        <v>373</v>
      </c>
      <c r="C41" s="292"/>
      <c r="D41" s="292"/>
      <c r="E41" s="292"/>
      <c r="F41" s="292"/>
      <c r="G41" s="39" t="s">
        <v>456</v>
      </c>
      <c r="H41" s="307">
        <v>0</v>
      </c>
      <c r="I41" s="293">
        <f>ROUNDUP(SUM(I16,I18:I40)/6,0)*H41</f>
        <v>0</v>
      </c>
      <c r="J41" s="226">
        <f t="shared" si="0"/>
        <v>0</v>
      </c>
      <c r="K41" s="26"/>
      <c r="L41" s="121" t="s">
        <v>145</v>
      </c>
      <c r="M41" s="122"/>
    </row>
    <row r="42" spans="1:14" s="3" customFormat="1" ht="15" customHeight="1" thickBot="1" x14ac:dyDescent="0.35">
      <c r="A42" s="337" t="s">
        <v>324</v>
      </c>
      <c r="B42" s="547" t="s">
        <v>372</v>
      </c>
      <c r="C42" s="547"/>
      <c r="D42" s="547"/>
      <c r="E42" s="547"/>
      <c r="F42" s="547"/>
      <c r="G42" s="547"/>
      <c r="H42" s="548"/>
      <c r="I42" s="338">
        <f>ROUNDUP(SUM(I15:I16,I18:I41),0)</f>
        <v>100</v>
      </c>
      <c r="J42" s="339">
        <f>SUM(J16:J41)</f>
        <v>86.2</v>
      </c>
      <c r="K42" s="27"/>
      <c r="L42" s="130"/>
      <c r="M42" s="121"/>
    </row>
    <row r="43" spans="1:14" s="3" customFormat="1" ht="15" customHeight="1" thickBot="1" x14ac:dyDescent="0.35">
      <c r="A43" s="42"/>
      <c r="B43" s="43"/>
      <c r="C43" s="43"/>
      <c r="D43" s="43"/>
      <c r="E43" s="43"/>
      <c r="F43" s="43"/>
      <c r="G43" s="43"/>
      <c r="H43" s="43"/>
      <c r="I43" s="43"/>
      <c r="J43" s="44"/>
      <c r="K43" s="26"/>
      <c r="L43" s="132"/>
      <c r="M43" s="132"/>
    </row>
    <row r="44" spans="1:14" s="3" customFormat="1" ht="15" customHeight="1" x14ac:dyDescent="0.3">
      <c r="A44" s="103" t="s">
        <v>23</v>
      </c>
      <c r="B44" s="470" t="s">
        <v>282</v>
      </c>
      <c r="C44" s="471"/>
      <c r="D44" s="471"/>
      <c r="E44" s="471"/>
      <c r="F44" s="472"/>
      <c r="G44" s="105"/>
      <c r="H44" s="105"/>
      <c r="I44" s="104"/>
      <c r="J44" s="96"/>
      <c r="K44" s="26"/>
      <c r="L44" s="129" t="s">
        <v>3</v>
      </c>
      <c r="M44" s="129" t="s">
        <v>229</v>
      </c>
    </row>
    <row r="45" spans="1:14" s="3" customFormat="1" ht="15" customHeight="1" x14ac:dyDescent="0.3">
      <c r="A45" s="101"/>
      <c r="B45" s="100" t="s">
        <v>294</v>
      </c>
      <c r="C45" s="80" t="s">
        <v>290</v>
      </c>
      <c r="D45" s="80" t="s">
        <v>297</v>
      </c>
      <c r="E45" s="80" t="s">
        <v>292</v>
      </c>
      <c r="F45" s="540" t="s">
        <v>291</v>
      </c>
      <c r="G45" s="541"/>
      <c r="H45" s="79" t="s">
        <v>336</v>
      </c>
      <c r="I45" s="79" t="s">
        <v>24</v>
      </c>
      <c r="J45" s="107" t="s">
        <v>337</v>
      </c>
      <c r="L45" s="123"/>
      <c r="M45" s="123"/>
    </row>
    <row r="46" spans="1:14" s="3" customFormat="1" ht="15" customHeight="1" x14ac:dyDescent="0.3">
      <c r="A46" s="74" t="s">
        <v>58</v>
      </c>
      <c r="B46" s="67" t="s">
        <v>432</v>
      </c>
      <c r="C46" s="62" t="s">
        <v>285</v>
      </c>
      <c r="D46" s="61"/>
      <c r="E46" s="61" t="s">
        <v>521</v>
      </c>
      <c r="F46" s="542" t="str">
        <f>D8</f>
        <v>Cornélio Procópio/PR</v>
      </c>
      <c r="G46" s="543"/>
      <c r="H46" s="81">
        <v>1</v>
      </c>
      <c r="I46" s="82">
        <v>10080.35</v>
      </c>
      <c r="J46" s="97">
        <f t="shared" ref="J46:J52" si="1">I46*H46</f>
        <v>10080.35</v>
      </c>
      <c r="K46" s="26"/>
      <c r="L46" s="130" t="s">
        <v>284</v>
      </c>
      <c r="M46" s="125"/>
    </row>
    <row r="47" spans="1:14" s="3" customFormat="1" ht="15" customHeight="1" x14ac:dyDescent="0.3">
      <c r="A47" s="74" t="s">
        <v>60</v>
      </c>
      <c r="B47" s="67" t="s">
        <v>433</v>
      </c>
      <c r="C47" s="62" t="s">
        <v>286</v>
      </c>
      <c r="D47" s="61">
        <v>25</v>
      </c>
      <c r="E47" s="61" t="s">
        <v>521</v>
      </c>
      <c r="F47" s="542" t="str">
        <f>F46</f>
        <v>Cornélio Procópio/PR</v>
      </c>
      <c r="G47" s="543"/>
      <c r="H47" s="81">
        <v>1</v>
      </c>
      <c r="I47" s="432">
        <v>7754.12</v>
      </c>
      <c r="J47" s="97">
        <f t="shared" si="1"/>
        <v>7754.12</v>
      </c>
      <c r="K47" s="26"/>
      <c r="L47" s="130" t="s">
        <v>26</v>
      </c>
      <c r="M47" s="122" t="s">
        <v>438</v>
      </c>
    </row>
    <row r="48" spans="1:14" s="3" customFormat="1" ht="15" customHeight="1" x14ac:dyDescent="0.3">
      <c r="A48" s="74" t="s">
        <v>61</v>
      </c>
      <c r="B48" s="67" t="s">
        <v>434</v>
      </c>
      <c r="C48" s="83" t="s">
        <v>309</v>
      </c>
      <c r="D48" s="61">
        <v>30</v>
      </c>
      <c r="E48" s="61" t="s">
        <v>521</v>
      </c>
      <c r="F48" s="542" t="str">
        <f>F46</f>
        <v>Cornélio Procópio/PR</v>
      </c>
      <c r="G48" s="543"/>
      <c r="H48" s="81">
        <v>1</v>
      </c>
      <c r="I48" s="84">
        <f>I47</f>
        <v>7754.12</v>
      </c>
      <c r="J48" s="97">
        <f t="shared" si="1"/>
        <v>7754.12</v>
      </c>
      <c r="K48" s="26"/>
      <c r="L48" s="130" t="s">
        <v>26</v>
      </c>
      <c r="M48" s="122" t="s">
        <v>438</v>
      </c>
    </row>
    <row r="49" spans="1:13" s="3" customFormat="1" ht="15" customHeight="1" x14ac:dyDescent="0.3">
      <c r="A49" s="74" t="s">
        <v>62</v>
      </c>
      <c r="B49" s="67" t="s">
        <v>435</v>
      </c>
      <c r="C49" s="83" t="s">
        <v>309</v>
      </c>
      <c r="D49" s="61">
        <v>30</v>
      </c>
      <c r="E49" s="61" t="s">
        <v>521</v>
      </c>
      <c r="F49" s="542" t="str">
        <f>F46</f>
        <v>Cornélio Procópio/PR</v>
      </c>
      <c r="G49" s="543"/>
      <c r="H49" s="85">
        <v>6</v>
      </c>
      <c r="I49" s="84">
        <f>I48</f>
        <v>7754.12</v>
      </c>
      <c r="J49" s="97">
        <f t="shared" si="1"/>
        <v>46524.72</v>
      </c>
      <c r="K49" s="26"/>
      <c r="L49" s="130" t="s">
        <v>26</v>
      </c>
      <c r="M49" s="122" t="s">
        <v>439</v>
      </c>
    </row>
    <row r="50" spans="1:13" s="3" customFormat="1" ht="15" customHeight="1" x14ac:dyDescent="0.3">
      <c r="A50" s="74" t="s">
        <v>63</v>
      </c>
      <c r="B50" s="67" t="s">
        <v>289</v>
      </c>
      <c r="C50" s="62" t="s">
        <v>287</v>
      </c>
      <c r="D50" s="61"/>
      <c r="E50" s="61" t="s">
        <v>440</v>
      </c>
      <c r="F50" s="542" t="str">
        <f>F46</f>
        <v>Cornélio Procópio/PR</v>
      </c>
      <c r="G50" s="543"/>
      <c r="H50" s="81">
        <v>1</v>
      </c>
      <c r="I50" s="84">
        <v>948.97</v>
      </c>
      <c r="J50" s="97">
        <f t="shared" si="1"/>
        <v>948.97</v>
      </c>
      <c r="K50" s="26"/>
      <c r="L50" s="130" t="s">
        <v>283</v>
      </c>
      <c r="M50" s="219" t="s">
        <v>457</v>
      </c>
    </row>
    <row r="51" spans="1:13" s="3" customFormat="1" ht="15" customHeight="1" x14ac:dyDescent="0.3">
      <c r="A51" s="74" t="s">
        <v>64</v>
      </c>
      <c r="B51" s="67" t="s">
        <v>407</v>
      </c>
      <c r="C51" s="62" t="s">
        <v>288</v>
      </c>
      <c r="D51" s="61">
        <v>12</v>
      </c>
      <c r="E51" s="61" t="s">
        <v>521</v>
      </c>
      <c r="F51" s="542" t="str">
        <f>F46</f>
        <v>Cornélio Procópio/PR</v>
      </c>
      <c r="G51" s="543"/>
      <c r="H51" s="81">
        <v>2</v>
      </c>
      <c r="I51" s="84">
        <v>4431.53</v>
      </c>
      <c r="J51" s="97">
        <f t="shared" si="1"/>
        <v>8863.06</v>
      </c>
      <c r="K51" s="26"/>
      <c r="L51" s="130" t="s">
        <v>26</v>
      </c>
      <c r="M51" s="121"/>
    </row>
    <row r="52" spans="1:13" s="3" customFormat="1" ht="15" customHeight="1" x14ac:dyDescent="0.3">
      <c r="A52" s="74" t="s">
        <v>65</v>
      </c>
      <c r="B52" s="299" t="s">
        <v>465</v>
      </c>
      <c r="C52" s="62" t="s">
        <v>309</v>
      </c>
      <c r="D52" s="61">
        <v>30</v>
      </c>
      <c r="E52" s="61" t="s">
        <v>521</v>
      </c>
      <c r="F52" s="542" t="str">
        <f>F46</f>
        <v>Cornélio Procópio/PR</v>
      </c>
      <c r="G52" s="543"/>
      <c r="H52" s="81">
        <v>2</v>
      </c>
      <c r="I52" s="84">
        <f>I49</f>
        <v>7754.12</v>
      </c>
      <c r="J52" s="97">
        <f t="shared" si="1"/>
        <v>15508.24</v>
      </c>
      <c r="K52" s="26"/>
      <c r="L52" s="130" t="s">
        <v>26</v>
      </c>
      <c r="M52" s="121"/>
    </row>
    <row r="53" spans="1:13" s="3" customFormat="1" ht="15" customHeight="1" x14ac:dyDescent="0.3">
      <c r="A53" s="101"/>
      <c r="B53" s="297" t="s">
        <v>295</v>
      </c>
      <c r="C53" s="80" t="s">
        <v>290</v>
      </c>
      <c r="D53" s="80" t="s">
        <v>297</v>
      </c>
      <c r="E53" s="296" t="s">
        <v>292</v>
      </c>
      <c r="F53" s="540" t="str">
        <f>F45</f>
        <v xml:space="preserve">Município de referência </v>
      </c>
      <c r="G53" s="541"/>
      <c r="H53" s="79" t="s">
        <v>336</v>
      </c>
      <c r="I53" s="79" t="s">
        <v>24</v>
      </c>
      <c r="J53" s="107" t="s">
        <v>337</v>
      </c>
      <c r="L53" s="123"/>
      <c r="M53" s="123"/>
    </row>
    <row r="54" spans="1:13" s="3" customFormat="1" ht="15" customHeight="1" x14ac:dyDescent="0.3">
      <c r="A54" s="74" t="s">
        <v>65</v>
      </c>
      <c r="B54" s="67" t="s">
        <v>437</v>
      </c>
      <c r="C54" s="62" t="s">
        <v>285</v>
      </c>
      <c r="D54" s="61"/>
      <c r="E54" s="61" t="str">
        <f>F46</f>
        <v>Cornélio Procópio/PR</v>
      </c>
      <c r="F54" s="549" t="str">
        <f>E46</f>
        <v>Campinas/SP</v>
      </c>
      <c r="G54" s="550"/>
      <c r="H54" s="81">
        <v>1</v>
      </c>
      <c r="I54" s="82">
        <f>I46</f>
        <v>10080.35</v>
      </c>
      <c r="J54" s="97">
        <f>I54*H54</f>
        <v>10080.35</v>
      </c>
      <c r="K54" s="26"/>
      <c r="L54" s="130" t="s">
        <v>284</v>
      </c>
      <c r="M54" s="125"/>
    </row>
    <row r="55" spans="1:13" s="3" customFormat="1" ht="15" customHeight="1" x14ac:dyDescent="0.3">
      <c r="A55" s="74" t="s">
        <v>66</v>
      </c>
      <c r="B55" s="67" t="s">
        <v>436</v>
      </c>
      <c r="C55" s="62" t="s">
        <v>286</v>
      </c>
      <c r="D55" s="61">
        <v>25</v>
      </c>
      <c r="E55" s="61" t="str">
        <f>F47</f>
        <v>Cornélio Procópio/PR</v>
      </c>
      <c r="F55" s="549" t="str">
        <f>E47</f>
        <v>Campinas/SP</v>
      </c>
      <c r="G55" s="550"/>
      <c r="H55" s="81">
        <v>1</v>
      </c>
      <c r="I55" s="82">
        <f>I47</f>
        <v>7754.12</v>
      </c>
      <c r="J55" s="97">
        <f>I55*H55</f>
        <v>7754.12</v>
      </c>
      <c r="K55" s="26"/>
      <c r="L55" s="130" t="s">
        <v>284</v>
      </c>
      <c r="M55" s="122" t="s">
        <v>293</v>
      </c>
    </row>
    <row r="56" spans="1:13" s="3" customFormat="1" ht="15" customHeight="1" x14ac:dyDescent="0.3">
      <c r="A56" s="74" t="s">
        <v>68</v>
      </c>
      <c r="B56" s="67" t="s">
        <v>434</v>
      </c>
      <c r="C56" s="83" t="s">
        <v>309</v>
      </c>
      <c r="D56" s="61">
        <v>30</v>
      </c>
      <c r="E56" s="61" t="str">
        <f>F48</f>
        <v>Cornélio Procópio/PR</v>
      </c>
      <c r="F56" s="549" t="str">
        <f>E48</f>
        <v>Campinas/SP</v>
      </c>
      <c r="G56" s="550"/>
      <c r="H56" s="81">
        <v>1</v>
      </c>
      <c r="I56" s="82">
        <f>I48</f>
        <v>7754.12</v>
      </c>
      <c r="J56" s="97">
        <f>I56*H56</f>
        <v>7754.12</v>
      </c>
      <c r="K56" s="26"/>
      <c r="L56" s="130" t="s">
        <v>284</v>
      </c>
      <c r="M56" s="122" t="s">
        <v>293</v>
      </c>
    </row>
    <row r="57" spans="1:13" s="3" customFormat="1" ht="15" customHeight="1" x14ac:dyDescent="0.3">
      <c r="A57" s="74" t="s">
        <v>70</v>
      </c>
      <c r="B57" s="67" t="s">
        <v>435</v>
      </c>
      <c r="C57" s="83" t="s">
        <v>309</v>
      </c>
      <c r="D57" s="61">
        <v>30</v>
      </c>
      <c r="E57" s="61" t="str">
        <f>F49</f>
        <v>Cornélio Procópio/PR</v>
      </c>
      <c r="F57" s="549" t="str">
        <f>E49</f>
        <v>Campinas/SP</v>
      </c>
      <c r="G57" s="550"/>
      <c r="H57" s="85">
        <v>6</v>
      </c>
      <c r="I57" s="82">
        <f>I49</f>
        <v>7754.12</v>
      </c>
      <c r="J57" s="97">
        <f>I57*H57</f>
        <v>46524.72</v>
      </c>
      <c r="K57" s="26"/>
      <c r="L57" s="130" t="s">
        <v>284</v>
      </c>
      <c r="M57" s="122" t="s">
        <v>308</v>
      </c>
    </row>
    <row r="58" spans="1:13" s="3" customFormat="1" ht="15" customHeight="1" x14ac:dyDescent="0.3">
      <c r="A58" s="74"/>
      <c r="B58" s="286" t="s">
        <v>296</v>
      </c>
      <c r="C58" s="80" t="s">
        <v>290</v>
      </c>
      <c r="D58" s="80" t="s">
        <v>297</v>
      </c>
      <c r="E58" s="296" t="s">
        <v>292</v>
      </c>
      <c r="F58" s="80" t="s">
        <v>291</v>
      </c>
      <c r="G58" s="80" t="s">
        <v>441</v>
      </c>
      <c r="H58" s="79" t="s">
        <v>336</v>
      </c>
      <c r="I58" s="79" t="s">
        <v>24</v>
      </c>
      <c r="J58" s="107" t="s">
        <v>337</v>
      </c>
      <c r="K58" s="26"/>
      <c r="L58" s="130"/>
      <c r="M58" s="121"/>
    </row>
    <row r="59" spans="1:13" s="3" customFormat="1" ht="15" customHeight="1" x14ac:dyDescent="0.3">
      <c r="A59" s="74" t="s">
        <v>72</v>
      </c>
      <c r="B59" s="66" t="s">
        <v>301</v>
      </c>
      <c r="C59" s="83" t="s">
        <v>288</v>
      </c>
      <c r="D59" s="81">
        <v>13</v>
      </c>
      <c r="E59" s="303" t="s">
        <v>471</v>
      </c>
      <c r="F59" s="86" t="str">
        <f>F46</f>
        <v>Cornélio Procópio/PR</v>
      </c>
      <c r="G59" s="81">
        <f>$F$159/1000</f>
        <v>3.33</v>
      </c>
      <c r="H59" s="86">
        <f>ROUNDUP($G$59/$D$59,0)</f>
        <v>1</v>
      </c>
      <c r="I59" s="82">
        <v>4012.5</v>
      </c>
      <c r="J59" s="97">
        <f>I59*H59</f>
        <v>4012.5</v>
      </c>
      <c r="K59" s="26"/>
      <c r="L59" s="130" t="s">
        <v>284</v>
      </c>
      <c r="M59" s="122" t="s">
        <v>442</v>
      </c>
    </row>
    <row r="60" spans="1:13" s="3" customFormat="1" ht="15" customHeight="1" x14ac:dyDescent="0.3">
      <c r="A60" s="74" t="s">
        <v>298</v>
      </c>
      <c r="B60" s="66" t="s">
        <v>296</v>
      </c>
      <c r="C60" s="83" t="s">
        <v>309</v>
      </c>
      <c r="D60" s="81">
        <v>30</v>
      </c>
      <c r="E60" s="303" t="s">
        <v>472</v>
      </c>
      <c r="F60" s="86" t="str">
        <f>F46</f>
        <v>Cornélio Procópio/PR</v>
      </c>
      <c r="G60" s="81">
        <f>SUM($F$155:$F$158)/1000</f>
        <v>55.028486999999998</v>
      </c>
      <c r="H60" s="86">
        <f>ROUNDUP($G$60/$D$60,0)</f>
        <v>2</v>
      </c>
      <c r="I60" s="82">
        <v>5440.84</v>
      </c>
      <c r="J60" s="97">
        <f>I60*H60</f>
        <v>10881.68</v>
      </c>
      <c r="K60" s="26"/>
      <c r="L60" s="130" t="s">
        <v>284</v>
      </c>
      <c r="M60" s="122" t="s">
        <v>444</v>
      </c>
    </row>
    <row r="61" spans="1:13" s="3" customFormat="1" ht="15" customHeight="1" x14ac:dyDescent="0.3">
      <c r="A61" s="74" t="s">
        <v>299</v>
      </c>
      <c r="B61" s="66" t="s">
        <v>302</v>
      </c>
      <c r="C61" s="83" t="s">
        <v>309</v>
      </c>
      <c r="D61" s="81">
        <v>30</v>
      </c>
      <c r="E61" s="81" t="s">
        <v>473</v>
      </c>
      <c r="F61" s="86" t="str">
        <f>F46</f>
        <v>Cornélio Procópio/PR</v>
      </c>
      <c r="G61" s="81">
        <f>$H$163</f>
        <v>123</v>
      </c>
      <c r="H61" s="86">
        <f>ROUNDUP($G$61/$D$61,0)</f>
        <v>5</v>
      </c>
      <c r="I61" s="82">
        <v>6884.33</v>
      </c>
      <c r="J61" s="97">
        <f>I61*H61</f>
        <v>34421.65</v>
      </c>
      <c r="K61" s="26"/>
      <c r="L61" s="130" t="s">
        <v>284</v>
      </c>
      <c r="M61" s="122" t="s">
        <v>445</v>
      </c>
    </row>
    <row r="62" spans="1:13" s="3" customFormat="1" ht="15" customHeight="1" x14ac:dyDescent="0.3">
      <c r="A62" s="74" t="s">
        <v>300</v>
      </c>
      <c r="B62" s="67" t="s">
        <v>303</v>
      </c>
      <c r="C62" s="62" t="s">
        <v>288</v>
      </c>
      <c r="D62" s="81">
        <v>13</v>
      </c>
      <c r="E62" s="81" t="s">
        <v>472</v>
      </c>
      <c r="F62" s="81" t="s">
        <v>471</v>
      </c>
      <c r="G62" s="81"/>
      <c r="H62" s="86">
        <v>1</v>
      </c>
      <c r="I62" s="87">
        <v>2710</v>
      </c>
      <c r="J62" s="97">
        <f>I62*H62</f>
        <v>2710</v>
      </c>
      <c r="K62" s="27"/>
      <c r="L62" s="130" t="s">
        <v>284</v>
      </c>
      <c r="M62" s="122" t="s">
        <v>443</v>
      </c>
    </row>
    <row r="63" spans="1:13" s="3" customFormat="1" ht="15" customHeight="1" x14ac:dyDescent="0.3">
      <c r="A63" s="74"/>
      <c r="B63" s="512" t="s">
        <v>304</v>
      </c>
      <c r="C63" s="513"/>
      <c r="D63" s="88" t="s">
        <v>312</v>
      </c>
      <c r="E63" s="88" t="s">
        <v>311</v>
      </c>
      <c r="F63" s="80" t="s">
        <v>291</v>
      </c>
      <c r="G63" s="80" t="s">
        <v>41</v>
      </c>
      <c r="H63" s="88" t="s">
        <v>36</v>
      </c>
      <c r="I63" s="79" t="s">
        <v>24</v>
      </c>
      <c r="J63" s="107" t="s">
        <v>337</v>
      </c>
      <c r="K63" s="26"/>
      <c r="L63" s="130"/>
      <c r="M63" s="121"/>
    </row>
    <row r="64" spans="1:13" s="3" customFormat="1" ht="15" customHeight="1" x14ac:dyDescent="0.3">
      <c r="A64" s="74" t="s">
        <v>305</v>
      </c>
      <c r="B64" s="475" t="s">
        <v>38</v>
      </c>
      <c r="C64" s="476"/>
      <c r="D64" s="87">
        <v>6.5</v>
      </c>
      <c r="E64" s="89">
        <f>$J$10*2</f>
        <v>878</v>
      </c>
      <c r="F64" s="89" t="s">
        <v>474</v>
      </c>
      <c r="G64" s="90">
        <v>1</v>
      </c>
      <c r="H64" s="89">
        <f>IF($E$64&lt;=1000,0,IF($E$64&gt;1000,($E$64/1000)*200))</f>
        <v>0</v>
      </c>
      <c r="I64" s="87">
        <f>($D$64*$E$64)+$H$64</f>
        <v>5707</v>
      </c>
      <c r="J64" s="98">
        <f>I64*G64</f>
        <v>5707</v>
      </c>
      <c r="K64" s="26"/>
      <c r="L64" s="130" t="s">
        <v>40</v>
      </c>
      <c r="M64" s="131" t="s">
        <v>479</v>
      </c>
    </row>
    <row r="65" spans="1:15" s="3" customFormat="1" ht="15" customHeight="1" x14ac:dyDescent="0.3">
      <c r="A65" s="74"/>
      <c r="B65" s="512" t="s">
        <v>313</v>
      </c>
      <c r="C65" s="513"/>
      <c r="D65" s="88" t="s">
        <v>320</v>
      </c>
      <c r="E65" s="91" t="s">
        <v>42</v>
      </c>
      <c r="F65" s="80" t="s">
        <v>291</v>
      </c>
      <c r="G65" s="80" t="s">
        <v>41</v>
      </c>
      <c r="H65" s="80" t="s">
        <v>43</v>
      </c>
      <c r="I65" s="91" t="s">
        <v>458</v>
      </c>
      <c r="J65" s="107" t="s">
        <v>337</v>
      </c>
      <c r="K65" s="27"/>
      <c r="L65" s="130"/>
      <c r="M65" s="121"/>
    </row>
    <row r="66" spans="1:15" s="3" customFormat="1" ht="15" customHeight="1" x14ac:dyDescent="0.3">
      <c r="A66" s="74" t="s">
        <v>314</v>
      </c>
      <c r="B66" s="507" t="s">
        <v>45</v>
      </c>
      <c r="C66" s="508"/>
      <c r="D66" s="80"/>
      <c r="E66" s="80"/>
      <c r="F66" s="93" t="s">
        <v>459</v>
      </c>
      <c r="G66" s="89">
        <v>2</v>
      </c>
      <c r="H66" s="80"/>
      <c r="I66" s="82">
        <v>180</v>
      </c>
      <c r="J66" s="98">
        <f>G66*I66*9</f>
        <v>3240</v>
      </c>
      <c r="K66" s="26"/>
      <c r="L66" s="130" t="s">
        <v>46</v>
      </c>
      <c r="M66" s="131" t="s">
        <v>323</v>
      </c>
    </row>
    <row r="67" spans="1:15" s="3" customFormat="1" ht="15" customHeight="1" x14ac:dyDescent="0.3">
      <c r="A67" s="74" t="s">
        <v>315</v>
      </c>
      <c r="B67" s="507" t="s">
        <v>48</v>
      </c>
      <c r="C67" s="508"/>
      <c r="D67" s="84">
        <v>5.8</v>
      </c>
      <c r="E67" s="92">
        <v>0.5</v>
      </c>
      <c r="F67" s="93" t="s">
        <v>440</v>
      </c>
      <c r="G67" s="94">
        <v>1</v>
      </c>
      <c r="H67" s="93">
        <v>10</v>
      </c>
      <c r="I67" s="92">
        <f>E67+(D67/H67)</f>
        <v>1.08</v>
      </c>
      <c r="J67" s="98">
        <f>G67*I67*J9*2</f>
        <v>727.92000000000007</v>
      </c>
      <c r="K67" s="27"/>
      <c r="L67" s="130" t="s">
        <v>321</v>
      </c>
      <c r="M67" s="122" t="s">
        <v>322</v>
      </c>
    </row>
    <row r="68" spans="1:15" s="3" customFormat="1" ht="15" customHeight="1" x14ac:dyDescent="0.3">
      <c r="A68" s="74" t="s">
        <v>316</v>
      </c>
      <c r="B68" s="507" t="s">
        <v>50</v>
      </c>
      <c r="C68" s="508"/>
      <c r="D68" s="92">
        <f>$D$67</f>
        <v>5.8</v>
      </c>
      <c r="E68" s="92">
        <v>0.5</v>
      </c>
      <c r="F68" s="93" t="s">
        <v>440</v>
      </c>
      <c r="G68" s="94">
        <f>ROUNDUP(I76/15,0)</f>
        <v>4</v>
      </c>
      <c r="H68" s="93">
        <v>10</v>
      </c>
      <c r="I68" s="92">
        <f t="shared" ref="I68:I70" si="2">E68+(D68/H68)</f>
        <v>1.08</v>
      </c>
      <c r="J68" s="98">
        <f>G68*I68*J9*2</f>
        <v>2911.6800000000003</v>
      </c>
      <c r="K68" s="27"/>
      <c r="L68" s="130" t="s">
        <v>321</v>
      </c>
      <c r="M68" s="122" t="s">
        <v>322</v>
      </c>
    </row>
    <row r="69" spans="1:15" s="3" customFormat="1" ht="15" customHeight="1" x14ac:dyDescent="0.3">
      <c r="A69" s="74" t="s">
        <v>317</v>
      </c>
      <c r="B69" s="507" t="s">
        <v>467</v>
      </c>
      <c r="C69" s="508"/>
      <c r="D69" s="92">
        <f t="shared" ref="D69:D70" si="3">$D$67</f>
        <v>5.8</v>
      </c>
      <c r="E69" s="92">
        <v>0.5</v>
      </c>
      <c r="F69" s="93" t="s">
        <v>440</v>
      </c>
      <c r="G69" s="94">
        <f>ROUNDUP(I77/15,0)</f>
        <v>7</v>
      </c>
      <c r="H69" s="93">
        <v>10</v>
      </c>
      <c r="I69" s="92">
        <f t="shared" si="2"/>
        <v>1.08</v>
      </c>
      <c r="J69" s="98">
        <f>G69*I69*J9*2</f>
        <v>5095.4400000000005</v>
      </c>
      <c r="K69" s="27"/>
      <c r="L69" s="130" t="s">
        <v>321</v>
      </c>
      <c r="M69" s="122" t="s">
        <v>322</v>
      </c>
    </row>
    <row r="70" spans="1:15" s="3" customFormat="1" ht="15" customHeight="1" x14ac:dyDescent="0.3">
      <c r="A70" s="74" t="s">
        <v>318</v>
      </c>
      <c r="B70" s="507" t="s">
        <v>397</v>
      </c>
      <c r="C70" s="508"/>
      <c r="D70" s="92">
        <f t="shared" si="3"/>
        <v>5.8</v>
      </c>
      <c r="E70" s="92">
        <v>0.5</v>
      </c>
      <c r="F70" s="93" t="s">
        <v>440</v>
      </c>
      <c r="G70" s="94">
        <f>ROUNDUP(I79/15,0)</f>
        <v>7</v>
      </c>
      <c r="H70" s="93">
        <v>10</v>
      </c>
      <c r="I70" s="92">
        <f t="shared" si="2"/>
        <v>1.08</v>
      </c>
      <c r="J70" s="98">
        <f>G70*I70*J8*2</f>
        <v>7015.68</v>
      </c>
      <c r="K70" s="27"/>
      <c r="L70" s="130" t="s">
        <v>321</v>
      </c>
      <c r="M70" s="122" t="s">
        <v>322</v>
      </c>
    </row>
    <row r="71" spans="1:15" s="3" customFormat="1" ht="15" customHeight="1" x14ac:dyDescent="0.3">
      <c r="A71" s="74" t="s">
        <v>319</v>
      </c>
      <c r="B71" s="475" t="s">
        <v>53</v>
      </c>
      <c r="C71" s="476"/>
      <c r="D71" s="95"/>
      <c r="E71" s="95"/>
      <c r="F71" s="93" t="s">
        <v>459</v>
      </c>
      <c r="G71" s="94">
        <f>ROUNDDOWN((D11-7)/7,0)</f>
        <v>13</v>
      </c>
      <c r="H71" s="95"/>
      <c r="I71" s="92">
        <f>$I$66</f>
        <v>180</v>
      </c>
      <c r="J71" s="98">
        <f>G71*I71*9</f>
        <v>21060</v>
      </c>
      <c r="K71" s="27"/>
      <c r="L71" s="130"/>
      <c r="M71" s="121"/>
    </row>
    <row r="72" spans="1:15" s="3" customFormat="1" ht="15" customHeight="1" thickBot="1" x14ac:dyDescent="0.35">
      <c r="A72" s="102" t="s">
        <v>324</v>
      </c>
      <c r="B72" s="509" t="s">
        <v>54</v>
      </c>
      <c r="C72" s="510"/>
      <c r="D72" s="510"/>
      <c r="E72" s="510"/>
      <c r="F72" s="510"/>
      <c r="G72" s="510"/>
      <c r="H72" s="510"/>
      <c r="I72" s="510"/>
      <c r="J72" s="99">
        <f>SUM(J46:J71)</f>
        <v>267330.44</v>
      </c>
      <c r="K72" s="27"/>
      <c r="L72" s="130"/>
      <c r="M72" s="121"/>
    </row>
    <row r="73" spans="1:15" s="3" customFormat="1" ht="15" customHeight="1" thickBot="1" x14ac:dyDescent="0.35">
      <c r="A73" s="42"/>
      <c r="B73" s="43"/>
      <c r="C73" s="43"/>
      <c r="D73" s="43"/>
      <c r="E73" s="43"/>
      <c r="F73" s="43"/>
      <c r="G73" s="43"/>
      <c r="H73" s="43"/>
      <c r="I73" s="43"/>
      <c r="J73" s="44"/>
      <c r="K73" s="26"/>
      <c r="L73" s="132"/>
      <c r="M73" s="132"/>
    </row>
    <row r="74" spans="1:15" s="3" customFormat="1" ht="15" customHeight="1" x14ac:dyDescent="0.3">
      <c r="A74" s="149" t="s">
        <v>23</v>
      </c>
      <c r="B74" s="480" t="s">
        <v>325</v>
      </c>
      <c r="C74" s="480"/>
      <c r="D74" s="480"/>
      <c r="E74" s="480"/>
      <c r="F74" s="480"/>
      <c r="G74" s="480"/>
      <c r="H74" s="480"/>
      <c r="I74" s="480"/>
      <c r="J74" s="511"/>
      <c r="K74" s="26"/>
      <c r="L74" s="129" t="s">
        <v>3</v>
      </c>
      <c r="M74" s="129" t="s">
        <v>229</v>
      </c>
    </row>
    <row r="75" spans="1:15" s="3" customFormat="1" ht="15" customHeight="1" x14ac:dyDescent="0.25">
      <c r="A75" s="160"/>
      <c r="B75" s="458" t="s">
        <v>333</v>
      </c>
      <c r="C75" s="458"/>
      <c r="D75" s="458"/>
      <c r="E75" s="459"/>
      <c r="F75" s="45" t="s">
        <v>55</v>
      </c>
      <c r="G75" s="45" t="s">
        <v>334</v>
      </c>
      <c r="H75" s="45" t="s">
        <v>56</v>
      </c>
      <c r="I75" s="106" t="s">
        <v>57</v>
      </c>
      <c r="J75" s="108" t="s">
        <v>337</v>
      </c>
      <c r="K75" s="26"/>
      <c r="L75" s="125"/>
      <c r="M75" s="125"/>
    </row>
    <row r="76" spans="1:15" s="3" customFormat="1" ht="15" customHeight="1" x14ac:dyDescent="0.3">
      <c r="A76" s="161" t="s">
        <v>74</v>
      </c>
      <c r="B76" s="484" t="s">
        <v>525</v>
      </c>
      <c r="C76" s="485"/>
      <c r="D76" s="485"/>
      <c r="E76" s="486"/>
      <c r="F76" s="109">
        <v>805.34</v>
      </c>
      <c r="G76" s="110">
        <v>0.5</v>
      </c>
      <c r="H76" s="76">
        <f t="shared" ref="H76:H80" si="4">$D$11</f>
        <v>100</v>
      </c>
      <c r="I76" s="48">
        <f t="shared" ref="I76:I84" si="5">ROUNDUP(G76*H76,0)</f>
        <v>50</v>
      </c>
      <c r="J76" s="78">
        <f t="shared" ref="J76:J84" si="6">F76*I76</f>
        <v>40267</v>
      </c>
      <c r="K76" s="27"/>
      <c r="L76" s="121" t="s">
        <v>59</v>
      </c>
      <c r="M76" s="128" t="s">
        <v>331</v>
      </c>
    </row>
    <row r="77" spans="1:15" s="3" customFormat="1" ht="15" customHeight="1" x14ac:dyDescent="0.3">
      <c r="A77" s="161" t="s">
        <v>78</v>
      </c>
      <c r="B77" s="484" t="s">
        <v>396</v>
      </c>
      <c r="C77" s="485"/>
      <c r="D77" s="485"/>
      <c r="E77" s="486"/>
      <c r="F77" s="109">
        <v>514.84359515151527</v>
      </c>
      <c r="G77" s="110">
        <v>1</v>
      </c>
      <c r="H77" s="76">
        <f t="shared" si="4"/>
        <v>100</v>
      </c>
      <c r="I77" s="48">
        <f t="shared" si="5"/>
        <v>100</v>
      </c>
      <c r="J77" s="78">
        <f t="shared" si="6"/>
        <v>51484.359515151526</v>
      </c>
      <c r="K77" s="26"/>
      <c r="L77" s="121" t="s">
        <v>59</v>
      </c>
      <c r="M77" s="122"/>
    </row>
    <row r="78" spans="1:15" s="3" customFormat="1" ht="15" customHeight="1" x14ac:dyDescent="0.3">
      <c r="A78" s="161" t="s">
        <v>80</v>
      </c>
      <c r="B78" s="484" t="s">
        <v>460</v>
      </c>
      <c r="C78" s="485"/>
      <c r="D78" s="485"/>
      <c r="E78" s="486"/>
      <c r="F78" s="109">
        <v>470.35660909090916</v>
      </c>
      <c r="G78" s="110">
        <v>0.1</v>
      </c>
      <c r="H78" s="76">
        <f t="shared" si="4"/>
        <v>100</v>
      </c>
      <c r="I78" s="48">
        <f t="shared" si="5"/>
        <v>10</v>
      </c>
      <c r="J78" s="78">
        <f t="shared" si="6"/>
        <v>4703.5660909090911</v>
      </c>
      <c r="K78" s="26"/>
      <c r="L78" s="121" t="s">
        <v>59</v>
      </c>
      <c r="M78" s="122"/>
    </row>
    <row r="79" spans="1:15" s="3" customFormat="1" ht="15" customHeight="1" x14ac:dyDescent="0.3">
      <c r="A79" s="161" t="s">
        <v>83</v>
      </c>
      <c r="B79" s="484" t="s">
        <v>395</v>
      </c>
      <c r="C79" s="485"/>
      <c r="D79" s="485"/>
      <c r="E79" s="486"/>
      <c r="F79" s="109">
        <v>1102.488913939394</v>
      </c>
      <c r="G79" s="47">
        <v>1</v>
      </c>
      <c r="H79" s="76">
        <f t="shared" si="4"/>
        <v>100</v>
      </c>
      <c r="I79" s="48">
        <f t="shared" si="5"/>
        <v>100</v>
      </c>
      <c r="J79" s="78">
        <f t="shared" si="6"/>
        <v>110248.8913939394</v>
      </c>
      <c r="K79" s="26"/>
      <c r="L79" s="121" t="s">
        <v>59</v>
      </c>
      <c r="M79" s="122"/>
      <c r="O79" s="3">
        <v>1416</v>
      </c>
    </row>
    <row r="80" spans="1:15" s="3" customFormat="1" ht="15" customHeight="1" x14ac:dyDescent="0.3">
      <c r="A80" s="161" t="s">
        <v>326</v>
      </c>
      <c r="B80" s="484" t="s">
        <v>398</v>
      </c>
      <c r="C80" s="485"/>
      <c r="D80" s="485"/>
      <c r="E80" s="486"/>
      <c r="F80" s="109">
        <v>838.10469181818178</v>
      </c>
      <c r="G80" s="110">
        <v>0.15</v>
      </c>
      <c r="H80" s="76">
        <f t="shared" si="4"/>
        <v>100</v>
      </c>
      <c r="I80" s="48">
        <f t="shared" si="5"/>
        <v>15</v>
      </c>
      <c r="J80" s="78">
        <f t="shared" si="6"/>
        <v>12571.570377272727</v>
      </c>
      <c r="K80" s="26"/>
      <c r="L80" s="121" t="s">
        <v>59</v>
      </c>
      <c r="M80" s="122"/>
    </row>
    <row r="81" spans="1:13" s="3" customFormat="1" ht="15" customHeight="1" x14ac:dyDescent="0.3">
      <c r="A81" s="161" t="s">
        <v>327</v>
      </c>
      <c r="B81" s="484" t="s">
        <v>67</v>
      </c>
      <c r="C81" s="485"/>
      <c r="D81" s="485"/>
      <c r="E81" s="486"/>
      <c r="F81" s="109">
        <v>1684.8460870448234</v>
      </c>
      <c r="G81" s="47">
        <v>1</v>
      </c>
      <c r="H81" s="76">
        <f>$D$11</f>
        <v>100</v>
      </c>
      <c r="I81" s="48">
        <f t="shared" si="5"/>
        <v>100</v>
      </c>
      <c r="J81" s="78">
        <f t="shared" si="6"/>
        <v>168484.60870448235</v>
      </c>
      <c r="K81" s="26"/>
      <c r="L81" s="121" t="s">
        <v>59</v>
      </c>
      <c r="M81" s="122"/>
    </row>
    <row r="82" spans="1:13" s="3" customFormat="1" ht="15" customHeight="1" x14ac:dyDescent="0.3">
      <c r="A82" s="161" t="s">
        <v>328</v>
      </c>
      <c r="B82" s="484" t="s">
        <v>69</v>
      </c>
      <c r="C82" s="485"/>
      <c r="D82" s="485"/>
      <c r="E82" s="486"/>
      <c r="F82" s="109">
        <f>F81</f>
        <v>1684.8460870448234</v>
      </c>
      <c r="G82" s="47">
        <v>1</v>
      </c>
      <c r="H82" s="76">
        <f t="shared" ref="H82:H84" si="7">$D$11</f>
        <v>100</v>
      </c>
      <c r="I82" s="48">
        <f t="shared" si="5"/>
        <v>100</v>
      </c>
      <c r="J82" s="78">
        <f t="shared" si="6"/>
        <v>168484.60870448235</v>
      </c>
      <c r="K82" s="26"/>
      <c r="L82" s="121" t="s">
        <v>59</v>
      </c>
      <c r="M82" s="122"/>
    </row>
    <row r="83" spans="1:13" s="3" customFormat="1" ht="15" customHeight="1" x14ac:dyDescent="0.3">
      <c r="A83" s="161" t="s">
        <v>329</v>
      </c>
      <c r="B83" s="484" t="s">
        <v>71</v>
      </c>
      <c r="C83" s="485"/>
      <c r="D83" s="485"/>
      <c r="E83" s="486"/>
      <c r="F83" s="109">
        <f>F81</f>
        <v>1684.8460870448234</v>
      </c>
      <c r="G83" s="47">
        <v>1</v>
      </c>
      <c r="H83" s="76">
        <f t="shared" si="7"/>
        <v>100</v>
      </c>
      <c r="I83" s="48">
        <f t="shared" si="5"/>
        <v>100</v>
      </c>
      <c r="J83" s="78">
        <f t="shared" si="6"/>
        <v>168484.60870448235</v>
      </c>
      <c r="K83" s="26"/>
      <c r="L83" s="121" t="s">
        <v>59</v>
      </c>
      <c r="M83" s="122"/>
    </row>
    <row r="84" spans="1:13" s="3" customFormat="1" ht="15" customHeight="1" x14ac:dyDescent="0.3">
      <c r="A84" s="161" t="s">
        <v>330</v>
      </c>
      <c r="B84" s="504" t="s">
        <v>73</v>
      </c>
      <c r="C84" s="505"/>
      <c r="D84" s="505"/>
      <c r="E84" s="506"/>
      <c r="F84" s="109">
        <f>F81</f>
        <v>1684.8460870448234</v>
      </c>
      <c r="G84" s="110">
        <v>0</v>
      </c>
      <c r="H84" s="76">
        <f t="shared" si="7"/>
        <v>100</v>
      </c>
      <c r="I84" s="48">
        <f t="shared" si="5"/>
        <v>0</v>
      </c>
      <c r="J84" s="78">
        <f t="shared" si="6"/>
        <v>0</v>
      </c>
      <c r="K84" s="26"/>
      <c r="L84" s="121" t="s">
        <v>59</v>
      </c>
      <c r="M84" s="128" t="s">
        <v>332</v>
      </c>
    </row>
    <row r="85" spans="1:13" s="3" customFormat="1" ht="15" customHeight="1" thickBot="1" x14ac:dyDescent="0.3">
      <c r="A85" s="102" t="s">
        <v>324</v>
      </c>
      <c r="B85" s="509" t="s">
        <v>335</v>
      </c>
      <c r="C85" s="510"/>
      <c r="D85" s="510"/>
      <c r="E85" s="510"/>
      <c r="F85" s="510"/>
      <c r="G85" s="510"/>
      <c r="H85" s="510"/>
      <c r="I85" s="510"/>
      <c r="J85" s="429">
        <f>SUM(J76:J84)</f>
        <v>724729.21349071979</v>
      </c>
      <c r="K85" s="26"/>
      <c r="L85" s="133"/>
      <c r="M85" s="133"/>
    </row>
    <row r="86" spans="1:13" s="3" customFormat="1" ht="15" customHeight="1" thickBot="1" x14ac:dyDescent="0.35">
      <c r="A86" s="42"/>
      <c r="B86" s="43"/>
      <c r="C86" s="43"/>
      <c r="D86" s="43"/>
      <c r="E86" s="43"/>
      <c r="F86" s="43"/>
      <c r="G86" s="43"/>
      <c r="H86" s="43"/>
      <c r="I86" s="43"/>
      <c r="J86" s="44"/>
      <c r="K86" s="26"/>
      <c r="L86" s="132"/>
      <c r="M86" s="132"/>
    </row>
    <row r="87" spans="1:13" s="3" customFormat="1" ht="15" customHeight="1" x14ac:dyDescent="0.3">
      <c r="A87" s="149" t="s">
        <v>23</v>
      </c>
      <c r="B87" s="480" t="s">
        <v>339</v>
      </c>
      <c r="C87" s="480"/>
      <c r="D87" s="480"/>
      <c r="E87" s="480"/>
      <c r="F87" s="480"/>
      <c r="G87" s="480"/>
      <c r="H87" s="480"/>
      <c r="I87" s="480"/>
      <c r="J87" s="511"/>
      <c r="K87" s="26"/>
      <c r="L87" s="129" t="s">
        <v>3</v>
      </c>
      <c r="M87" s="129" t="s">
        <v>229</v>
      </c>
    </row>
    <row r="88" spans="1:13" s="3" customFormat="1" ht="15" customHeight="1" x14ac:dyDescent="0.25">
      <c r="A88" s="162"/>
      <c r="B88" s="502" t="s">
        <v>4</v>
      </c>
      <c r="C88" s="503"/>
      <c r="D88" s="45" t="s">
        <v>340</v>
      </c>
      <c r="E88" s="45" t="s">
        <v>341</v>
      </c>
      <c r="F88" s="489" t="s">
        <v>342</v>
      </c>
      <c r="G88" s="490"/>
      <c r="H88" s="491" t="s">
        <v>343</v>
      </c>
      <c r="I88" s="490"/>
      <c r="J88" s="108" t="s">
        <v>337</v>
      </c>
      <c r="K88" s="24"/>
      <c r="L88" s="125"/>
      <c r="M88" s="125"/>
    </row>
    <row r="89" spans="1:13" s="3" customFormat="1" ht="15" customHeight="1" x14ac:dyDescent="0.3">
      <c r="A89" s="163" t="s">
        <v>85</v>
      </c>
      <c r="B89" s="445" t="s">
        <v>75</v>
      </c>
      <c r="C89" s="446"/>
      <c r="D89" s="76">
        <v>2</v>
      </c>
      <c r="E89" s="76">
        <v>4</v>
      </c>
      <c r="F89" s="482">
        <f>D89*E89*D11</f>
        <v>800</v>
      </c>
      <c r="G89" s="483"/>
      <c r="H89" s="487">
        <v>110</v>
      </c>
      <c r="I89" s="488"/>
      <c r="J89" s="75">
        <f>F89*H89</f>
        <v>88000</v>
      </c>
      <c r="K89" s="28"/>
      <c r="L89" s="121" t="s">
        <v>338</v>
      </c>
      <c r="M89" s="121"/>
    </row>
    <row r="90" spans="1:13" s="2" customFormat="1" ht="15" customHeight="1" x14ac:dyDescent="0.3">
      <c r="A90" s="163" t="s">
        <v>88</v>
      </c>
      <c r="B90" s="445" t="s">
        <v>76</v>
      </c>
      <c r="C90" s="446"/>
      <c r="D90" s="76">
        <v>2</v>
      </c>
      <c r="E90" s="76">
        <v>4</v>
      </c>
      <c r="F90" s="482">
        <f>(D90*E90*D11)/2</f>
        <v>400</v>
      </c>
      <c r="G90" s="483"/>
      <c r="H90" s="487">
        <v>270</v>
      </c>
      <c r="I90" s="488"/>
      <c r="J90" s="75">
        <f>F90*H90</f>
        <v>108000</v>
      </c>
      <c r="K90" s="28"/>
      <c r="L90" s="121" t="s">
        <v>338</v>
      </c>
      <c r="M90" s="121"/>
    </row>
    <row r="91" spans="1:13" s="2" customFormat="1" ht="15" customHeight="1" x14ac:dyDescent="0.3">
      <c r="A91" s="163" t="s">
        <v>90</v>
      </c>
      <c r="B91" s="445" t="s">
        <v>77</v>
      </c>
      <c r="C91" s="445"/>
      <c r="D91" s="445"/>
      <c r="E91" s="446"/>
      <c r="F91" s="482">
        <f>I76+I77+I79+I80+I78</f>
        <v>275</v>
      </c>
      <c r="G91" s="483"/>
      <c r="H91" s="487">
        <v>38</v>
      </c>
      <c r="I91" s="488"/>
      <c r="J91" s="75">
        <f>F91*H91</f>
        <v>10450</v>
      </c>
      <c r="K91" s="24"/>
      <c r="L91" s="121" t="s">
        <v>338</v>
      </c>
      <c r="M91" s="121"/>
    </row>
    <row r="92" spans="1:13" s="3" customFormat="1" ht="15" customHeight="1" x14ac:dyDescent="0.3">
      <c r="A92" s="163" t="s">
        <v>93</v>
      </c>
      <c r="B92" s="445" t="s">
        <v>79</v>
      </c>
      <c r="C92" s="445"/>
      <c r="D92" s="445"/>
      <c r="E92" s="446"/>
      <c r="F92" s="482">
        <f>I76+I77+I79+I80+I78</f>
        <v>275</v>
      </c>
      <c r="G92" s="483"/>
      <c r="H92" s="487">
        <v>270</v>
      </c>
      <c r="I92" s="488"/>
      <c r="J92" s="75">
        <f>F92*H92</f>
        <v>74250</v>
      </c>
      <c r="K92" s="26"/>
      <c r="L92" s="121" t="s">
        <v>338</v>
      </c>
      <c r="M92" s="121"/>
    </row>
    <row r="93" spans="1:13" s="3" customFormat="1" ht="15" customHeight="1" x14ac:dyDescent="0.3">
      <c r="A93" s="163" t="s">
        <v>95</v>
      </c>
      <c r="B93" s="445" t="s">
        <v>81</v>
      </c>
      <c r="C93" s="445"/>
      <c r="D93" s="445"/>
      <c r="E93" s="446"/>
      <c r="F93" s="482">
        <f>D11*D89</f>
        <v>200</v>
      </c>
      <c r="G93" s="483"/>
      <c r="H93" s="487">
        <v>12</v>
      </c>
      <c r="I93" s="488"/>
      <c r="J93" s="75">
        <f>F93*H93</f>
        <v>2400</v>
      </c>
      <c r="K93" s="26"/>
      <c r="L93" s="121" t="s">
        <v>338</v>
      </c>
      <c r="M93" s="121"/>
    </row>
    <row r="94" spans="1:13" ht="15" customHeight="1" thickBot="1" x14ac:dyDescent="0.35">
      <c r="A94" s="102" t="s">
        <v>324</v>
      </c>
      <c r="B94" s="509" t="s">
        <v>84</v>
      </c>
      <c r="C94" s="510"/>
      <c r="D94" s="510"/>
      <c r="E94" s="510"/>
      <c r="F94" s="510"/>
      <c r="G94" s="510"/>
      <c r="H94" s="510"/>
      <c r="I94" s="510"/>
      <c r="J94" s="158">
        <f>SUM(J89:J93)</f>
        <v>283100</v>
      </c>
      <c r="L94" s="134"/>
      <c r="M94" s="134"/>
    </row>
    <row r="95" spans="1:13" s="3" customFormat="1" ht="15" customHeight="1" thickBot="1" x14ac:dyDescent="0.35">
      <c r="A95" s="42"/>
      <c r="B95" s="43"/>
      <c r="C95" s="43"/>
      <c r="D95" s="43"/>
      <c r="E95" s="43"/>
      <c r="F95" s="43"/>
      <c r="G95" s="43"/>
      <c r="H95" s="43"/>
      <c r="I95" s="43"/>
      <c r="J95" s="44"/>
      <c r="K95" s="26"/>
      <c r="L95" s="132"/>
      <c r="M95" s="132"/>
    </row>
    <row r="96" spans="1:13" ht="15" customHeight="1" x14ac:dyDescent="0.3">
      <c r="A96" s="170" t="s">
        <v>23</v>
      </c>
      <c r="B96" s="452" t="s">
        <v>573</v>
      </c>
      <c r="C96" s="452"/>
      <c r="D96" s="452"/>
      <c r="E96" s="452"/>
      <c r="F96" s="452"/>
      <c r="G96" s="452"/>
      <c r="H96" s="452"/>
      <c r="I96" s="452"/>
      <c r="J96" s="514"/>
      <c r="L96" s="129" t="s">
        <v>3</v>
      </c>
      <c r="M96" s="129" t="s">
        <v>229</v>
      </c>
    </row>
    <row r="97" spans="1:14" ht="15" customHeight="1" x14ac:dyDescent="0.3">
      <c r="A97" s="166"/>
      <c r="B97" s="152" t="s">
        <v>344</v>
      </c>
      <c r="C97" s="49" t="s">
        <v>345</v>
      </c>
      <c r="D97" s="113" t="s">
        <v>346</v>
      </c>
      <c r="E97" s="113" t="s">
        <v>347</v>
      </c>
      <c r="F97" s="113" t="s">
        <v>267</v>
      </c>
      <c r="G97" s="113" t="s">
        <v>348</v>
      </c>
      <c r="H97" s="113" t="s">
        <v>349</v>
      </c>
      <c r="I97" s="113" t="s">
        <v>350</v>
      </c>
      <c r="J97" s="144" t="s">
        <v>337</v>
      </c>
      <c r="L97" s="125"/>
      <c r="M97" s="125"/>
    </row>
    <row r="98" spans="1:14" ht="15" customHeight="1" x14ac:dyDescent="0.3">
      <c r="A98" s="163" t="s">
        <v>99</v>
      </c>
      <c r="B98" s="165" t="s">
        <v>86</v>
      </c>
      <c r="C98" s="112" t="s">
        <v>87</v>
      </c>
      <c r="D98" s="89">
        <f>E$18</f>
        <v>0</v>
      </c>
      <c r="E98" s="89">
        <f>F$18</f>
        <v>11.5</v>
      </c>
      <c r="F98" s="89">
        <f t="shared" ref="F98:F105" si="8">E98-D98</f>
        <v>11.5</v>
      </c>
      <c r="G98" s="89">
        <v>300</v>
      </c>
      <c r="H98" s="92">
        <v>35000</v>
      </c>
      <c r="I98" s="92">
        <f t="shared" ref="I98:I105" si="9">H98/G98</f>
        <v>116.66666666666667</v>
      </c>
      <c r="J98" s="145">
        <f t="shared" ref="J98:J104" si="10">F98*I98</f>
        <v>1341.6666666666667</v>
      </c>
      <c r="L98" s="121" t="s">
        <v>385</v>
      </c>
      <c r="M98" s="121"/>
    </row>
    <row r="99" spans="1:14" ht="15" customHeight="1" x14ac:dyDescent="0.3">
      <c r="A99" s="163" t="s">
        <v>100</v>
      </c>
      <c r="B99" s="165" t="s">
        <v>89</v>
      </c>
      <c r="C99" s="112" t="s">
        <v>87</v>
      </c>
      <c r="D99" s="89">
        <f>E$18</f>
        <v>0</v>
      </c>
      <c r="E99" s="89">
        <f>F$18</f>
        <v>11.5</v>
      </c>
      <c r="F99" s="89">
        <f t="shared" si="8"/>
        <v>11.5</v>
      </c>
      <c r="G99" s="89">
        <v>300</v>
      </c>
      <c r="H99" s="92">
        <v>25000</v>
      </c>
      <c r="I99" s="92">
        <f t="shared" si="9"/>
        <v>83.333333333333329</v>
      </c>
      <c r="J99" s="145">
        <f t="shared" si="10"/>
        <v>958.33333333333326</v>
      </c>
      <c r="L99" s="121" t="s">
        <v>385</v>
      </c>
      <c r="M99" s="121"/>
    </row>
    <row r="100" spans="1:14" ht="15" customHeight="1" x14ac:dyDescent="0.3">
      <c r="A100" s="163" t="s">
        <v>103</v>
      </c>
      <c r="B100" s="165" t="s">
        <v>91</v>
      </c>
      <c r="C100" s="112" t="s">
        <v>92</v>
      </c>
      <c r="D100" s="89">
        <f>E21</f>
        <v>11.5</v>
      </c>
      <c r="E100" s="89">
        <f>F21</f>
        <v>150</v>
      </c>
      <c r="F100" s="89">
        <f t="shared" si="8"/>
        <v>138.5</v>
      </c>
      <c r="G100" s="89">
        <v>2000</v>
      </c>
      <c r="H100" s="92">
        <v>58380</v>
      </c>
      <c r="I100" s="92">
        <f t="shared" si="9"/>
        <v>29.19</v>
      </c>
      <c r="J100" s="145">
        <f t="shared" si="10"/>
        <v>4042.8150000000001</v>
      </c>
      <c r="L100" s="121" t="s">
        <v>385</v>
      </c>
      <c r="M100" s="121"/>
    </row>
    <row r="101" spans="1:14" ht="15" customHeight="1" x14ac:dyDescent="0.3">
      <c r="A101" s="163" t="s">
        <v>104</v>
      </c>
      <c r="B101" s="165" t="s">
        <v>94</v>
      </c>
      <c r="C101" s="112" t="s">
        <v>92</v>
      </c>
      <c r="D101" s="89">
        <f>E21</f>
        <v>11.5</v>
      </c>
      <c r="E101" s="89">
        <f>F21</f>
        <v>150</v>
      </c>
      <c r="F101" s="89">
        <f t="shared" si="8"/>
        <v>138.5</v>
      </c>
      <c r="G101" s="89">
        <v>300</v>
      </c>
      <c r="H101" s="92">
        <v>50000</v>
      </c>
      <c r="I101" s="92">
        <f t="shared" si="9"/>
        <v>166.66666666666666</v>
      </c>
      <c r="J101" s="145">
        <f t="shared" si="10"/>
        <v>23083.333333333332</v>
      </c>
      <c r="L101" s="121" t="s">
        <v>385</v>
      </c>
      <c r="M101" s="121"/>
    </row>
    <row r="102" spans="1:14" s="6" customFormat="1" ht="15" customHeight="1" x14ac:dyDescent="0.3">
      <c r="A102" s="163" t="s">
        <v>106</v>
      </c>
      <c r="B102" s="165" t="s">
        <v>96</v>
      </c>
      <c r="C102" s="112" t="s">
        <v>92</v>
      </c>
      <c r="D102" s="89">
        <f>E23</f>
        <v>150</v>
      </c>
      <c r="E102" s="89">
        <f>F23</f>
        <v>400</v>
      </c>
      <c r="F102" s="89">
        <f t="shared" si="8"/>
        <v>250</v>
      </c>
      <c r="G102" s="89">
        <v>300</v>
      </c>
      <c r="H102" s="92">
        <v>65000</v>
      </c>
      <c r="I102" s="92">
        <f t="shared" si="9"/>
        <v>216.66666666666666</v>
      </c>
      <c r="J102" s="145">
        <f t="shared" si="10"/>
        <v>54166.666666666664</v>
      </c>
      <c r="K102" s="29"/>
      <c r="L102" s="121" t="s">
        <v>385</v>
      </c>
      <c r="M102" s="121"/>
    </row>
    <row r="103" spans="1:14" s="6" customFormat="1" ht="15" customHeight="1" x14ac:dyDescent="0.3">
      <c r="A103" s="163" t="s">
        <v>106</v>
      </c>
      <c r="B103" s="165" t="s">
        <v>96</v>
      </c>
      <c r="C103" s="112" t="s">
        <v>92</v>
      </c>
      <c r="D103" s="89">
        <f>E24</f>
        <v>400</v>
      </c>
      <c r="E103" s="89">
        <f>F24</f>
        <v>750</v>
      </c>
      <c r="F103" s="89">
        <f t="shared" ref="F103" si="11">E103-D103</f>
        <v>350</v>
      </c>
      <c r="G103" s="89">
        <v>300</v>
      </c>
      <c r="H103" s="92">
        <v>65000</v>
      </c>
      <c r="I103" s="92">
        <f t="shared" ref="I103" si="12">H103/G103</f>
        <v>216.66666666666666</v>
      </c>
      <c r="J103" s="145">
        <f>F103*I103</f>
        <v>75833.333333333328</v>
      </c>
      <c r="K103" s="29"/>
      <c r="L103" s="121" t="s">
        <v>385</v>
      </c>
      <c r="M103" s="121"/>
    </row>
    <row r="104" spans="1:14" s="6" customFormat="1" ht="15" customHeight="1" x14ac:dyDescent="0.3">
      <c r="A104" s="163" t="s">
        <v>108</v>
      </c>
      <c r="B104" s="165" t="s">
        <v>97</v>
      </c>
      <c r="C104" s="112" t="s">
        <v>98</v>
      </c>
      <c r="D104" s="89">
        <f>E26</f>
        <v>750</v>
      </c>
      <c r="E104" s="89">
        <f>F26</f>
        <v>870</v>
      </c>
      <c r="F104" s="89">
        <f t="shared" si="8"/>
        <v>120</v>
      </c>
      <c r="G104" s="89">
        <v>300</v>
      </c>
      <c r="H104" s="92">
        <v>35000</v>
      </c>
      <c r="I104" s="92">
        <f t="shared" si="9"/>
        <v>116.66666666666667</v>
      </c>
      <c r="J104" s="145">
        <f t="shared" si="10"/>
        <v>14000</v>
      </c>
      <c r="K104" s="29"/>
      <c r="L104" s="121" t="s">
        <v>385</v>
      </c>
      <c r="M104" s="121"/>
    </row>
    <row r="105" spans="1:14" s="6" customFormat="1" ht="15" customHeight="1" x14ac:dyDescent="0.3">
      <c r="A105" s="164" t="s">
        <v>351</v>
      </c>
      <c r="B105" s="111" t="s">
        <v>631</v>
      </c>
      <c r="C105" s="112" t="s">
        <v>98</v>
      </c>
      <c r="D105" s="89">
        <f>E29</f>
        <v>750</v>
      </c>
      <c r="E105" s="89">
        <f>F29</f>
        <v>870</v>
      </c>
      <c r="F105" s="89">
        <f t="shared" si="8"/>
        <v>120</v>
      </c>
      <c r="G105" s="89">
        <v>300</v>
      </c>
      <c r="H105" s="92">
        <v>30000</v>
      </c>
      <c r="I105" s="92">
        <f t="shared" si="9"/>
        <v>100</v>
      </c>
      <c r="J105" s="145">
        <f>F105*I105</f>
        <v>12000</v>
      </c>
      <c r="K105" s="29"/>
      <c r="L105" s="121" t="s">
        <v>385</v>
      </c>
      <c r="M105" s="121"/>
    </row>
    <row r="106" spans="1:14" s="6" customFormat="1" ht="15" customHeight="1" thickBot="1" x14ac:dyDescent="0.35">
      <c r="A106" s="394" t="s">
        <v>324</v>
      </c>
      <c r="B106" s="515" t="s">
        <v>535</v>
      </c>
      <c r="C106" s="516"/>
      <c r="D106" s="516"/>
      <c r="E106" s="516"/>
      <c r="F106" s="516"/>
      <c r="G106" s="516"/>
      <c r="H106" s="516"/>
      <c r="I106" s="516"/>
      <c r="J106" s="430">
        <f>SUM(J98:J105)</f>
        <v>185426.14833333332</v>
      </c>
      <c r="K106" s="29"/>
      <c r="L106" s="121"/>
      <c r="M106" s="121"/>
    </row>
    <row r="107" spans="1:14" s="6" customFormat="1" ht="15" customHeight="1" thickBot="1" x14ac:dyDescent="0.35">
      <c r="A107" s="517"/>
      <c r="B107" s="518"/>
      <c r="C107" s="518"/>
      <c r="D107" s="518"/>
      <c r="E107" s="518"/>
      <c r="F107" s="518"/>
      <c r="G107" s="518"/>
      <c r="H107" s="518"/>
      <c r="I107" s="518"/>
      <c r="J107" s="519"/>
      <c r="K107" s="29"/>
      <c r="L107" s="121"/>
      <c r="M107" s="121"/>
    </row>
    <row r="108" spans="1:14" s="6" customFormat="1" ht="15" customHeight="1" x14ac:dyDescent="0.3">
      <c r="A108" s="170" t="s">
        <v>23</v>
      </c>
      <c r="B108" s="452" t="s">
        <v>537</v>
      </c>
      <c r="C108" s="452"/>
      <c r="D108" s="452"/>
      <c r="E108" s="452"/>
      <c r="F108" s="452"/>
      <c r="G108" s="452"/>
      <c r="H108" s="452"/>
      <c r="I108" s="452"/>
      <c r="J108" s="514"/>
      <c r="K108" s="29"/>
      <c r="L108" s="121"/>
      <c r="M108" s="121"/>
    </row>
    <row r="109" spans="1:14" ht="22" customHeight="1" x14ac:dyDescent="0.3">
      <c r="A109" s="342"/>
      <c r="B109" s="374" t="s">
        <v>290</v>
      </c>
      <c r="C109" s="375"/>
      <c r="D109" s="375"/>
      <c r="E109" s="376"/>
      <c r="F109" s="343" t="s">
        <v>492</v>
      </c>
      <c r="G109" s="113" t="s">
        <v>493</v>
      </c>
      <c r="H109" s="343" t="s">
        <v>494</v>
      </c>
      <c r="I109" s="343" t="s">
        <v>495</v>
      </c>
      <c r="J109" s="344" t="s">
        <v>337</v>
      </c>
      <c r="K109" s="69"/>
      <c r="L109" s="132"/>
      <c r="M109" s="125"/>
      <c r="N109" s="125"/>
    </row>
    <row r="110" spans="1:14" ht="15" customHeight="1" x14ac:dyDescent="0.3">
      <c r="A110" s="163" t="s">
        <v>111</v>
      </c>
      <c r="B110" s="368" t="s">
        <v>498</v>
      </c>
      <c r="C110" s="369"/>
      <c r="D110" s="369"/>
      <c r="E110" s="370"/>
      <c r="F110" s="347" t="s">
        <v>171</v>
      </c>
      <c r="G110" s="348">
        <v>1012875</v>
      </c>
      <c r="H110" s="349">
        <f>G110/(365*5)</f>
        <v>555</v>
      </c>
      <c r="I110" s="350">
        <f>$I$42</f>
        <v>100</v>
      </c>
      <c r="J110" s="145">
        <f>H110*I110</f>
        <v>55500</v>
      </c>
      <c r="K110" s="69"/>
      <c r="L110" s="218" t="s">
        <v>145</v>
      </c>
      <c r="M110" s="125"/>
      <c r="N110" s="125"/>
    </row>
    <row r="111" spans="1:14" ht="15" customHeight="1" x14ac:dyDescent="0.3">
      <c r="A111" s="163" t="s">
        <v>538</v>
      </c>
      <c r="B111" s="368" t="s">
        <v>497</v>
      </c>
      <c r="C111" s="369"/>
      <c r="D111" s="369"/>
      <c r="E111" s="370"/>
      <c r="F111" s="347" t="s">
        <v>171</v>
      </c>
      <c r="G111" s="348">
        <v>650000</v>
      </c>
      <c r="H111" s="349">
        <f>G111/(5*365)</f>
        <v>356.16438356164383</v>
      </c>
      <c r="I111" s="351">
        <f>$I$21</f>
        <v>3</v>
      </c>
      <c r="J111" s="145">
        <f>H111*I111</f>
        <v>1068.4931506849316</v>
      </c>
      <c r="K111" s="69"/>
      <c r="L111" s="218" t="s">
        <v>145</v>
      </c>
      <c r="M111" s="125"/>
      <c r="N111" s="125"/>
    </row>
    <row r="112" spans="1:14" ht="15" customHeight="1" x14ac:dyDescent="0.3">
      <c r="A112" s="163" t="s">
        <v>114</v>
      </c>
      <c r="B112" s="368" t="s">
        <v>517</v>
      </c>
      <c r="C112" s="369"/>
      <c r="D112" s="369"/>
      <c r="E112" s="370"/>
      <c r="F112" s="347" t="s">
        <v>171</v>
      </c>
      <c r="G112" s="349">
        <v>70000</v>
      </c>
      <c r="H112" s="352">
        <f>G112/(365*5)</f>
        <v>38.356164383561641</v>
      </c>
      <c r="I112" s="353">
        <f>$I$38</f>
        <v>4.1999999999999993</v>
      </c>
      <c r="J112" s="345">
        <f t="shared" ref="J112:J114" si="13">H112*I112</f>
        <v>161.09589041095887</v>
      </c>
      <c r="K112" s="69"/>
      <c r="L112" s="218" t="s">
        <v>145</v>
      </c>
      <c r="M112" s="125"/>
      <c r="N112" s="125"/>
    </row>
    <row r="113" spans="1:15" ht="15" customHeight="1" x14ac:dyDescent="0.3">
      <c r="A113" s="163" t="s">
        <v>117</v>
      </c>
      <c r="B113" s="368" t="s">
        <v>518</v>
      </c>
      <c r="C113" s="369"/>
      <c r="D113" s="369"/>
      <c r="E113" s="370"/>
      <c r="F113" s="347" t="s">
        <v>171</v>
      </c>
      <c r="G113" s="349">
        <v>90000</v>
      </c>
      <c r="H113" s="352">
        <f>G113/(365*5)</f>
        <v>49.315068493150683</v>
      </c>
      <c r="I113" s="353">
        <f>$I$38</f>
        <v>4.1999999999999993</v>
      </c>
      <c r="J113" s="75">
        <f t="shared" si="13"/>
        <v>207.12328767123284</v>
      </c>
      <c r="K113" s="69"/>
      <c r="L113" s="218" t="s">
        <v>145</v>
      </c>
      <c r="M113" s="125"/>
      <c r="N113" s="125"/>
    </row>
    <row r="114" spans="1:15" ht="13.5" customHeight="1" x14ac:dyDescent="0.3">
      <c r="A114" s="163" t="s">
        <v>120</v>
      </c>
      <c r="B114" s="371" t="s">
        <v>519</v>
      </c>
      <c r="C114" s="372"/>
      <c r="D114" s="372"/>
      <c r="E114" s="373"/>
      <c r="F114" s="347" t="s">
        <v>496</v>
      </c>
      <c r="G114" s="349">
        <f>376.25*G36</f>
        <v>112875</v>
      </c>
      <c r="H114" s="352">
        <f>G114/20</f>
        <v>5643.75</v>
      </c>
      <c r="I114" s="364">
        <v>1</v>
      </c>
      <c r="J114" s="75">
        <f t="shared" si="13"/>
        <v>5643.75</v>
      </c>
      <c r="K114" s="346"/>
      <c r="L114" s="218" t="s">
        <v>145</v>
      </c>
      <c r="M114" s="121"/>
      <c r="N114" s="121"/>
      <c r="O114" s="125"/>
    </row>
    <row r="115" spans="1:15" s="3" customFormat="1" ht="15" customHeight="1" thickBot="1" x14ac:dyDescent="0.3">
      <c r="A115" s="146" t="s">
        <v>324</v>
      </c>
      <c r="B115" s="477" t="s">
        <v>536</v>
      </c>
      <c r="C115" s="478"/>
      <c r="D115" s="479"/>
      <c r="E115" s="479"/>
      <c r="F115" s="479"/>
      <c r="G115" s="479"/>
      <c r="H115" s="479"/>
      <c r="I115" s="479"/>
      <c r="J115" s="114">
        <f>SUM(J110:J114)</f>
        <v>62580.46232876712</v>
      </c>
      <c r="K115" s="26"/>
      <c r="L115" s="125"/>
      <c r="M115" s="125"/>
    </row>
    <row r="116" spans="1:15" s="3" customFormat="1" ht="15" customHeight="1" thickBot="1" x14ac:dyDescent="0.35">
      <c r="A116" s="42"/>
      <c r="B116" s="43"/>
      <c r="C116" s="43"/>
      <c r="D116" s="43"/>
      <c r="E116" s="43"/>
      <c r="F116" s="43"/>
      <c r="G116" s="43"/>
      <c r="H116" s="43"/>
      <c r="I116" s="43"/>
      <c r="J116" s="44"/>
      <c r="K116" s="26"/>
      <c r="L116" s="132"/>
      <c r="M116" s="132"/>
    </row>
    <row r="117" spans="1:15" ht="15" customHeight="1" x14ac:dyDescent="0.3">
      <c r="A117" s="149" t="s">
        <v>23</v>
      </c>
      <c r="B117" s="480" t="s">
        <v>539</v>
      </c>
      <c r="C117" s="480"/>
      <c r="D117" s="480"/>
      <c r="E117" s="480"/>
      <c r="F117" s="480"/>
      <c r="G117" s="480"/>
      <c r="H117" s="480"/>
      <c r="I117" s="480"/>
      <c r="J117" s="481"/>
      <c r="L117" s="129" t="s">
        <v>3</v>
      </c>
      <c r="M117" s="129" t="s">
        <v>229</v>
      </c>
    </row>
    <row r="118" spans="1:15" ht="15" customHeight="1" x14ac:dyDescent="0.3">
      <c r="A118" s="166"/>
      <c r="B118" s="464" t="s">
        <v>290</v>
      </c>
      <c r="C118" s="465"/>
      <c r="D118" s="49" t="s">
        <v>41</v>
      </c>
      <c r="E118" s="49" t="s">
        <v>352</v>
      </c>
      <c r="F118" s="49" t="s">
        <v>461</v>
      </c>
      <c r="G118" s="49" t="s">
        <v>353</v>
      </c>
      <c r="H118" s="49" t="s">
        <v>358</v>
      </c>
      <c r="I118" s="49" t="s">
        <v>354</v>
      </c>
      <c r="J118" s="46" t="s">
        <v>337</v>
      </c>
      <c r="L118" s="125"/>
      <c r="M118" s="125"/>
    </row>
    <row r="119" spans="1:15" ht="15" customHeight="1" x14ac:dyDescent="0.3">
      <c r="A119" s="163" t="s">
        <v>134</v>
      </c>
      <c r="B119" s="445" t="s">
        <v>355</v>
      </c>
      <c r="C119" s="445"/>
      <c r="D119" s="446"/>
      <c r="E119" s="50">
        <f>J42</f>
        <v>86.2</v>
      </c>
      <c r="F119" s="39">
        <v>24</v>
      </c>
      <c r="G119" s="40">
        <v>18</v>
      </c>
      <c r="H119" s="148">
        <v>6.2</v>
      </c>
      <c r="I119" s="109">
        <f t="shared" ref="I119:I124" si="14">F119*G119*H119</f>
        <v>2678.4</v>
      </c>
      <c r="J119" s="75">
        <f>E119*I119</f>
        <v>230878.08000000002</v>
      </c>
      <c r="L119" s="121" t="s">
        <v>385</v>
      </c>
      <c r="M119" s="121"/>
    </row>
    <row r="120" spans="1:15" ht="15" customHeight="1" x14ac:dyDescent="0.3">
      <c r="A120" s="163" t="s">
        <v>137</v>
      </c>
      <c r="B120" s="115" t="s">
        <v>101</v>
      </c>
      <c r="C120" s="115"/>
      <c r="D120" s="116"/>
      <c r="E120" s="50">
        <f>SUM(I16:I40)</f>
        <v>91.2</v>
      </c>
      <c r="F120" s="39">
        <v>24</v>
      </c>
      <c r="G120" s="40">
        <v>3.34</v>
      </c>
      <c r="H120" s="40">
        <f>$H$119</f>
        <v>6.2</v>
      </c>
      <c r="I120" s="109">
        <f t="shared" si="14"/>
        <v>496.99200000000002</v>
      </c>
      <c r="J120" s="75">
        <f>E120*I120</f>
        <v>45325.670400000003</v>
      </c>
      <c r="L120" s="121" t="s">
        <v>385</v>
      </c>
      <c r="M120" s="121"/>
    </row>
    <row r="121" spans="1:15" ht="15" customHeight="1" x14ac:dyDescent="0.3">
      <c r="A121" s="163" t="s">
        <v>138</v>
      </c>
      <c r="B121" s="466" t="s">
        <v>102</v>
      </c>
      <c r="C121" s="466"/>
      <c r="D121" s="467"/>
      <c r="E121" s="50">
        <f>I19+I32</f>
        <v>5</v>
      </c>
      <c r="F121" s="39">
        <v>12</v>
      </c>
      <c r="G121" s="40">
        <v>12</v>
      </c>
      <c r="H121" s="40">
        <f>H$119</f>
        <v>6.2</v>
      </c>
      <c r="I121" s="109">
        <f t="shared" si="14"/>
        <v>892.80000000000007</v>
      </c>
      <c r="J121" s="75">
        <f>E121*I121</f>
        <v>4464</v>
      </c>
      <c r="L121" s="121" t="s">
        <v>385</v>
      </c>
      <c r="M121" s="121"/>
    </row>
    <row r="122" spans="1:15" ht="15" customHeight="1" x14ac:dyDescent="0.3">
      <c r="A122" s="163" t="s">
        <v>139</v>
      </c>
      <c r="B122" s="445" t="s">
        <v>356</v>
      </c>
      <c r="C122" s="446"/>
      <c r="D122" s="40">
        <v>2</v>
      </c>
      <c r="E122" s="50">
        <f>I21</f>
        <v>3</v>
      </c>
      <c r="F122" s="39">
        <v>10</v>
      </c>
      <c r="G122" s="40">
        <v>80</v>
      </c>
      <c r="H122" s="40">
        <f>H$119</f>
        <v>6.2</v>
      </c>
      <c r="I122" s="109">
        <f t="shared" si="14"/>
        <v>4960</v>
      </c>
      <c r="J122" s="75">
        <f>D122*E122*I122</f>
        <v>29760</v>
      </c>
      <c r="L122" s="121" t="s">
        <v>385</v>
      </c>
      <c r="M122" s="121"/>
    </row>
    <row r="123" spans="1:15" ht="15" customHeight="1" x14ac:dyDescent="0.3">
      <c r="A123" s="163" t="s">
        <v>500</v>
      </c>
      <c r="B123" s="445" t="s">
        <v>357</v>
      </c>
      <c r="C123" s="446"/>
      <c r="D123" s="40">
        <v>1</v>
      </c>
      <c r="E123" s="50">
        <f>I35</f>
        <v>3</v>
      </c>
      <c r="F123" s="39">
        <v>10</v>
      </c>
      <c r="G123" s="40">
        <v>80</v>
      </c>
      <c r="H123" s="40">
        <f>H$119</f>
        <v>6.2</v>
      </c>
      <c r="I123" s="109">
        <f t="shared" si="14"/>
        <v>4960</v>
      </c>
      <c r="J123" s="75">
        <f>E123*I123*D123</f>
        <v>14880</v>
      </c>
      <c r="L123" s="121" t="s">
        <v>385</v>
      </c>
      <c r="M123" s="121"/>
    </row>
    <row r="124" spans="1:15" s="3" customFormat="1" ht="15" customHeight="1" x14ac:dyDescent="0.3">
      <c r="A124" s="163" t="s">
        <v>501</v>
      </c>
      <c r="B124" s="462" t="s">
        <v>105</v>
      </c>
      <c r="C124" s="462"/>
      <c r="D124" s="463"/>
      <c r="E124" s="50">
        <f>I38+I37</f>
        <v>5.1999999999999993</v>
      </c>
      <c r="F124" s="39">
        <v>24</v>
      </c>
      <c r="G124" s="40">
        <v>90</v>
      </c>
      <c r="H124" s="40">
        <f>H$119</f>
        <v>6.2</v>
      </c>
      <c r="I124" s="109">
        <f t="shared" si="14"/>
        <v>13392</v>
      </c>
      <c r="J124" s="75">
        <f>E124*I124</f>
        <v>69638.399999999994</v>
      </c>
      <c r="K124" s="26"/>
      <c r="L124" s="121" t="s">
        <v>385</v>
      </c>
      <c r="M124" s="121"/>
    </row>
    <row r="125" spans="1:15" ht="23.5" customHeight="1" x14ac:dyDescent="0.3">
      <c r="A125" s="163" t="s">
        <v>502</v>
      </c>
      <c r="B125" s="464" t="s">
        <v>290</v>
      </c>
      <c r="C125" s="465"/>
      <c r="D125" s="49" t="s">
        <v>41</v>
      </c>
      <c r="E125" s="49" t="s">
        <v>352</v>
      </c>
      <c r="F125" s="49" t="s">
        <v>483</v>
      </c>
      <c r="G125" s="49" t="s">
        <v>484</v>
      </c>
      <c r="H125" s="49" t="s">
        <v>485</v>
      </c>
      <c r="I125" s="49" t="s">
        <v>354</v>
      </c>
      <c r="J125" s="77" t="s">
        <v>337</v>
      </c>
      <c r="L125" s="132"/>
      <c r="M125" s="121"/>
    </row>
    <row r="126" spans="1:15" ht="15" customHeight="1" x14ac:dyDescent="0.3">
      <c r="A126" s="163" t="s">
        <v>503</v>
      </c>
      <c r="B126" s="442" t="s">
        <v>498</v>
      </c>
      <c r="C126" s="443"/>
      <c r="D126" s="340">
        <v>1</v>
      </c>
      <c r="E126" s="341">
        <f>$I$42</f>
        <v>100</v>
      </c>
      <c r="F126" s="340">
        <v>20</v>
      </c>
      <c r="G126" s="341">
        <v>5</v>
      </c>
      <c r="H126" s="341">
        <f>$H$119</f>
        <v>6.2</v>
      </c>
      <c r="I126" s="109">
        <f>(F126/G126)*H126</f>
        <v>24.8</v>
      </c>
      <c r="J126" s="75">
        <f>E126*I126</f>
        <v>2480</v>
      </c>
      <c r="K126" s="346"/>
      <c r="L126" s="121" t="s">
        <v>385</v>
      </c>
      <c r="M126" s="121"/>
      <c r="N126" s="121"/>
    </row>
    <row r="127" spans="1:15" ht="15" customHeight="1" x14ac:dyDescent="0.3">
      <c r="A127" s="163" t="s">
        <v>504</v>
      </c>
      <c r="B127" s="442" t="s">
        <v>486</v>
      </c>
      <c r="C127" s="443"/>
      <c r="D127" s="340">
        <v>1</v>
      </c>
      <c r="E127" s="341">
        <f>D11</f>
        <v>100</v>
      </c>
      <c r="F127" s="340">
        <v>20</v>
      </c>
      <c r="G127" s="341">
        <v>5</v>
      </c>
      <c r="H127" s="341">
        <f>$H$119</f>
        <v>6.2</v>
      </c>
      <c r="I127" s="109">
        <f>(F127/G127)*H127</f>
        <v>24.8</v>
      </c>
      <c r="J127" s="75">
        <f>E127*I127</f>
        <v>2480</v>
      </c>
      <c r="L127" s="121" t="s">
        <v>385</v>
      </c>
      <c r="M127" s="121"/>
    </row>
    <row r="128" spans="1:15" s="3" customFormat="1" ht="15" customHeight="1" x14ac:dyDescent="0.3">
      <c r="A128" s="163" t="s">
        <v>505</v>
      </c>
      <c r="B128" s="444" t="s">
        <v>107</v>
      </c>
      <c r="C128" s="445"/>
      <c r="D128" s="446"/>
      <c r="E128" s="50">
        <f>SUM(H193:H196)</f>
        <v>450</v>
      </c>
      <c r="F128" s="39">
        <v>20</v>
      </c>
      <c r="G128" s="40">
        <v>10</v>
      </c>
      <c r="H128" s="40">
        <v>5.8</v>
      </c>
      <c r="I128" s="109">
        <f>(F128/G128)*H128</f>
        <v>11.6</v>
      </c>
      <c r="J128" s="75">
        <f>E128*I128</f>
        <v>5220</v>
      </c>
      <c r="K128" s="26"/>
      <c r="L128" s="121" t="s">
        <v>385</v>
      </c>
      <c r="M128" s="121"/>
    </row>
    <row r="129" spans="1:13" s="3" customFormat="1" ht="15" customHeight="1" thickBot="1" x14ac:dyDescent="0.3">
      <c r="A129" s="169" t="s">
        <v>324</v>
      </c>
      <c r="B129" s="468" t="s">
        <v>109</v>
      </c>
      <c r="C129" s="468"/>
      <c r="D129" s="468"/>
      <c r="E129" s="468"/>
      <c r="F129" s="468"/>
      <c r="G129" s="468"/>
      <c r="H129" s="468"/>
      <c r="I129" s="469"/>
      <c r="J129" s="118">
        <f>SUM(J119:J128)</f>
        <v>405126.15040000004</v>
      </c>
      <c r="K129" s="26"/>
      <c r="L129" s="135"/>
      <c r="M129" s="133"/>
    </row>
    <row r="130" spans="1:13" s="3" customFormat="1" ht="15" customHeight="1" thickBot="1" x14ac:dyDescent="0.35">
      <c r="A130" s="42"/>
      <c r="B130" s="43"/>
      <c r="C130" s="43"/>
      <c r="D130" s="43"/>
      <c r="E130" s="43"/>
      <c r="F130" s="43"/>
      <c r="G130" s="43"/>
      <c r="H130" s="43"/>
      <c r="I130" s="43"/>
      <c r="J130" s="44"/>
      <c r="K130" s="26"/>
      <c r="L130" s="132"/>
      <c r="M130" s="132"/>
    </row>
    <row r="131" spans="1:13" s="3" customFormat="1" ht="15" customHeight="1" x14ac:dyDescent="0.3">
      <c r="A131" s="149" t="s">
        <v>23</v>
      </c>
      <c r="B131" s="480" t="s">
        <v>540</v>
      </c>
      <c r="C131" s="480"/>
      <c r="D131" s="480"/>
      <c r="E131" s="480"/>
      <c r="F131" s="480"/>
      <c r="G131" s="480"/>
      <c r="H131" s="480"/>
      <c r="I131" s="480"/>
      <c r="J131" s="481"/>
      <c r="K131" s="26"/>
      <c r="L131" s="129" t="s">
        <v>3</v>
      </c>
      <c r="M131" s="129" t="s">
        <v>229</v>
      </c>
    </row>
    <row r="132" spans="1:13" s="3" customFormat="1" ht="15" customHeight="1" x14ac:dyDescent="0.25">
      <c r="A132" s="162"/>
      <c r="B132" s="458" t="s">
        <v>374</v>
      </c>
      <c r="C132" s="459"/>
      <c r="D132" s="45" t="s">
        <v>375</v>
      </c>
      <c r="E132" s="45" t="s">
        <v>464</v>
      </c>
      <c r="F132" s="49" t="s">
        <v>463</v>
      </c>
      <c r="G132" s="45" t="s">
        <v>376</v>
      </c>
      <c r="H132" s="45" t="s">
        <v>41</v>
      </c>
      <c r="I132" s="45" t="s">
        <v>377</v>
      </c>
      <c r="J132" s="46" t="s">
        <v>337</v>
      </c>
      <c r="K132" s="26"/>
      <c r="L132" s="139"/>
      <c r="M132" s="125"/>
    </row>
    <row r="133" spans="1:13" ht="15" customHeight="1" x14ac:dyDescent="0.3">
      <c r="A133" s="163" t="s">
        <v>147</v>
      </c>
      <c r="B133" s="454" t="s">
        <v>112</v>
      </c>
      <c r="C133" s="455"/>
      <c r="D133" s="53">
        <f>((C$18*C$18)/2000)*G$18</f>
        <v>3.8870000000000005</v>
      </c>
      <c r="E133" s="53">
        <v>75</v>
      </c>
      <c r="F133" s="53">
        <v>3</v>
      </c>
      <c r="G133" s="54" t="s">
        <v>113</v>
      </c>
      <c r="H133" s="53">
        <f>((D133+25)*E133*F133)/1000</f>
        <v>6.499575000000001</v>
      </c>
      <c r="I133" s="142">
        <v>2500</v>
      </c>
      <c r="J133" s="138">
        <f>H133*I133</f>
        <v>16248.937500000002</v>
      </c>
      <c r="L133" s="121" t="s">
        <v>362</v>
      </c>
      <c r="M133" s="122" t="s">
        <v>421</v>
      </c>
    </row>
    <row r="134" spans="1:13" s="3" customFormat="1" ht="15" customHeight="1" x14ac:dyDescent="0.3">
      <c r="A134" s="163" t="s">
        <v>148</v>
      </c>
      <c r="B134" s="454" t="s">
        <v>462</v>
      </c>
      <c r="C134" s="455"/>
      <c r="D134" s="53">
        <f>((D$18*D$18)/2000)*G$18+((C$21*C$21)/2000)*G21+((C$23*C$23)/2000)*G23+((C$24*C$24)/2000)*G24</f>
        <v>116.61200000000001</v>
      </c>
      <c r="E134" s="53">
        <v>75</v>
      </c>
      <c r="F134" s="53">
        <v>3</v>
      </c>
      <c r="G134" s="54" t="s">
        <v>113</v>
      </c>
      <c r="H134" s="53">
        <f>((D134+25)*E134*F134)/1000</f>
        <v>31.862700000000004</v>
      </c>
      <c r="I134" s="142">
        <v>2500</v>
      </c>
      <c r="J134" s="138">
        <f>H134*I134</f>
        <v>79656.750000000015</v>
      </c>
      <c r="K134" s="26"/>
      <c r="L134" s="121" t="s">
        <v>362</v>
      </c>
      <c r="M134" s="122" t="s">
        <v>421</v>
      </c>
    </row>
    <row r="135" spans="1:13" s="3" customFormat="1" ht="15" customHeight="1" x14ac:dyDescent="0.3">
      <c r="A135" s="163" t="s">
        <v>149</v>
      </c>
      <c r="B135" s="55" t="s">
        <v>115</v>
      </c>
      <c r="C135" s="55"/>
      <c r="D135" s="53">
        <f>((C$21*C$21)/2000)*G$21</f>
        <v>22.437000000000001</v>
      </c>
      <c r="E135" s="53"/>
      <c r="F135" s="53">
        <v>40</v>
      </c>
      <c r="G135" s="54" t="s">
        <v>116</v>
      </c>
      <c r="H135" s="53">
        <f>(ROUNDUP(((D135*F135)/30),0))</f>
        <v>30</v>
      </c>
      <c r="I135" s="142">
        <v>802.5</v>
      </c>
      <c r="J135" s="138">
        <f>H135*I135</f>
        <v>24075</v>
      </c>
      <c r="K135" s="26"/>
      <c r="L135" s="121" t="s">
        <v>362</v>
      </c>
      <c r="M135" s="122" t="s">
        <v>419</v>
      </c>
    </row>
    <row r="136" spans="1:13" s="3" customFormat="1" ht="15" customHeight="1" x14ac:dyDescent="0.3">
      <c r="A136" s="163" t="s">
        <v>150</v>
      </c>
      <c r="B136" s="55" t="s">
        <v>118</v>
      </c>
      <c r="C136" s="55"/>
      <c r="D136" s="53">
        <f>((C$21*C$21)/2000)*G$21</f>
        <v>22.437000000000001</v>
      </c>
      <c r="E136" s="53"/>
      <c r="F136" s="53">
        <v>20</v>
      </c>
      <c r="G136" s="54" t="s">
        <v>119</v>
      </c>
      <c r="H136" s="53">
        <f>(ROUNDUP(((D136*F136)/20),0))</f>
        <v>23</v>
      </c>
      <c r="I136" s="142">
        <v>515</v>
      </c>
      <c r="J136" s="138">
        <f>H136*I136*2</f>
        <v>23690</v>
      </c>
      <c r="K136" s="26"/>
      <c r="L136" s="121" t="s">
        <v>362</v>
      </c>
      <c r="M136" s="122" t="s">
        <v>419</v>
      </c>
    </row>
    <row r="137" spans="1:13" s="3" customFormat="1" ht="15" customHeight="1" x14ac:dyDescent="0.3">
      <c r="A137" s="163" t="s">
        <v>151</v>
      </c>
      <c r="B137" s="55" t="s">
        <v>360</v>
      </c>
      <c r="C137" s="55"/>
      <c r="D137" s="53">
        <f>((D$18*D$18)/2000)*G$18+((C$21*C$21)/2000)*G21+((C$23*C$23)/2000)*G23+((C$29*C$29)/2000)*G29+((C$24*C$24)/2000)*G24+((C$26*C$26)/2000)*G26</f>
        <v>158.98699999999999</v>
      </c>
      <c r="E137" s="53">
        <v>0.3</v>
      </c>
      <c r="F137" s="53">
        <v>2</v>
      </c>
      <c r="G137" s="298" t="s">
        <v>121</v>
      </c>
      <c r="H137" s="53">
        <f>((D137+25)*E137*F137)</f>
        <v>110.39219999999999</v>
      </c>
      <c r="I137" s="142">
        <v>12</v>
      </c>
      <c r="J137" s="138">
        <f>H137*I137*2</f>
        <v>2649.4127999999996</v>
      </c>
      <c r="K137" s="26"/>
      <c r="L137" s="121" t="s">
        <v>362</v>
      </c>
      <c r="M137" s="122" t="s">
        <v>447</v>
      </c>
    </row>
    <row r="138" spans="1:13" s="3" customFormat="1" ht="15" customHeight="1" x14ac:dyDescent="0.3">
      <c r="A138" s="163" t="s">
        <v>152</v>
      </c>
      <c r="B138" s="520" t="s">
        <v>251</v>
      </c>
      <c r="C138" s="521"/>
      <c r="D138" s="53">
        <f>((D$18*D$18)/2000)*G$18+((C$21*C$21)/2000)*G21+((C$23*C$23)/2000)*G23+((C$29*C$29)/2000)*G29+((C$24*C$24)/2000)*G24+((C$26*C$26)/2000)*G26</f>
        <v>158.98699999999999</v>
      </c>
      <c r="E138" s="53">
        <v>4</v>
      </c>
      <c r="F138" s="53">
        <v>2</v>
      </c>
      <c r="G138" s="54" t="s">
        <v>121</v>
      </c>
      <c r="H138" s="53">
        <f>((D138+25)*E138*F138)</f>
        <v>1471.896</v>
      </c>
      <c r="I138" s="142">
        <v>56.08</v>
      </c>
      <c r="J138" s="138">
        <f>H138*I138</f>
        <v>82543.927679999993</v>
      </c>
      <c r="K138" s="26"/>
      <c r="L138" s="121" t="s">
        <v>362</v>
      </c>
      <c r="M138" s="122" t="s">
        <v>446</v>
      </c>
    </row>
    <row r="139" spans="1:13" s="3" customFormat="1" ht="15" customHeight="1" x14ac:dyDescent="0.3">
      <c r="A139" s="163" t="s">
        <v>153</v>
      </c>
      <c r="B139" s="445" t="s">
        <v>122</v>
      </c>
      <c r="C139" s="445"/>
      <c r="D139" s="445"/>
      <c r="E139" s="445"/>
      <c r="F139" s="446"/>
      <c r="G139" s="39" t="s">
        <v>123</v>
      </c>
      <c r="H139" s="143">
        <f>((C$18*C$18)/2000)*G18-((D$18*D$18)/2000)*G$18</f>
        <v>1.5870000000000002</v>
      </c>
      <c r="I139" s="154">
        <v>1200</v>
      </c>
      <c r="J139" s="138">
        <f t="shared" ref="J139:J140" si="15">H139*I139</f>
        <v>1904.4000000000003</v>
      </c>
      <c r="K139" s="26"/>
      <c r="L139" s="121" t="s">
        <v>481</v>
      </c>
      <c r="M139" s="122" t="s">
        <v>361</v>
      </c>
    </row>
    <row r="140" spans="1:13" s="3" customFormat="1" ht="15" customHeight="1" x14ac:dyDescent="0.3">
      <c r="A140" s="163" t="s">
        <v>154</v>
      </c>
      <c r="B140" s="51" t="s">
        <v>480</v>
      </c>
      <c r="C140" s="51"/>
      <c r="D140" s="51"/>
      <c r="E140" s="51"/>
      <c r="F140" s="52"/>
      <c r="G140" s="39" t="s">
        <v>123</v>
      </c>
      <c r="H140" s="53">
        <v>18</v>
      </c>
      <c r="I140" s="154">
        <v>1200</v>
      </c>
      <c r="J140" s="138">
        <f t="shared" si="15"/>
        <v>21600</v>
      </c>
      <c r="K140" s="26"/>
      <c r="L140" s="121" t="s">
        <v>481</v>
      </c>
      <c r="M140" s="122"/>
    </row>
    <row r="141" spans="1:13" s="3" customFormat="1" ht="15" customHeight="1" x14ac:dyDescent="0.3">
      <c r="A141" s="163" t="s">
        <v>155</v>
      </c>
      <c r="B141" s="444" t="s">
        <v>124</v>
      </c>
      <c r="C141" s="446"/>
      <c r="D141" s="53">
        <f>(((D21*D21)/2000)*(G21+G18)+(((D23*D23)/2000)*G23)+(((D24*D24)/2000)*G24)+(((D29*D29)/2000)*G29))</f>
        <v>60.540000000000006</v>
      </c>
      <c r="E141" s="40">
        <v>1</v>
      </c>
      <c r="F141" s="40">
        <v>12</v>
      </c>
      <c r="G141" s="39" t="s">
        <v>121</v>
      </c>
      <c r="H141" s="53">
        <f>D141*E141*F141</f>
        <v>726.48</v>
      </c>
      <c r="I141" s="141">
        <v>24</v>
      </c>
      <c r="J141" s="138">
        <f t="shared" ref="J141:J150" si="16">H141*I141</f>
        <v>17435.52</v>
      </c>
      <c r="K141" s="26"/>
      <c r="L141" s="121" t="s">
        <v>362</v>
      </c>
      <c r="M141" s="122" t="s">
        <v>361</v>
      </c>
    </row>
    <row r="142" spans="1:13" ht="15" customHeight="1" x14ac:dyDescent="0.3">
      <c r="A142" s="163" t="s">
        <v>156</v>
      </c>
      <c r="B142" s="445" t="s">
        <v>125</v>
      </c>
      <c r="C142" s="445"/>
      <c r="D142" s="445"/>
      <c r="E142" s="445"/>
      <c r="F142" s="446"/>
      <c r="G142" s="39" t="s">
        <v>126</v>
      </c>
      <c r="H142" s="40">
        <v>1</v>
      </c>
      <c r="I142" s="109">
        <v>2000</v>
      </c>
      <c r="J142" s="138">
        <f t="shared" si="16"/>
        <v>2000</v>
      </c>
      <c r="L142" s="121" t="s">
        <v>385</v>
      </c>
      <c r="M142" s="122"/>
    </row>
    <row r="143" spans="1:13" ht="15" customHeight="1" x14ac:dyDescent="0.3">
      <c r="A143" s="163" t="s">
        <v>157</v>
      </c>
      <c r="B143" s="41" t="s">
        <v>127</v>
      </c>
      <c r="C143" s="41"/>
      <c r="D143" s="53">
        <f>(((D21*D21)/2000)*(G21+G18)+(((D23*D23)/2000)*G23)+(((D24*D24)/2000)*G24)+(((D29*D29)/2000)*G29))</f>
        <v>60.540000000000006</v>
      </c>
      <c r="E143" s="40">
        <f>1/30</f>
        <v>3.3333333333333333E-2</v>
      </c>
      <c r="F143" s="40">
        <v>5</v>
      </c>
      <c r="G143" s="39" t="s">
        <v>128</v>
      </c>
      <c r="H143" s="53">
        <f>ROUNDUP((D143*E143*F143),0)</f>
        <v>11</v>
      </c>
      <c r="I143" s="141">
        <v>144.30000000000001</v>
      </c>
      <c r="J143" s="138">
        <f t="shared" si="16"/>
        <v>1587.3000000000002</v>
      </c>
      <c r="L143" s="121" t="s">
        <v>362</v>
      </c>
      <c r="M143" s="122" t="s">
        <v>420</v>
      </c>
    </row>
    <row r="144" spans="1:13" s="3" customFormat="1" ht="15" customHeight="1" x14ac:dyDescent="0.3">
      <c r="A144" s="163" t="s">
        <v>158</v>
      </c>
      <c r="B144" s="445" t="s">
        <v>129</v>
      </c>
      <c r="C144" s="445"/>
      <c r="D144" s="445"/>
      <c r="E144" s="445"/>
      <c r="F144" s="446"/>
      <c r="G144" s="39" t="s">
        <v>126</v>
      </c>
      <c r="H144" s="40">
        <v>1</v>
      </c>
      <c r="I144" s="109">
        <v>2500</v>
      </c>
      <c r="J144" s="138">
        <f t="shared" si="16"/>
        <v>2500</v>
      </c>
      <c r="K144" s="26"/>
      <c r="L144" s="121" t="s">
        <v>385</v>
      </c>
      <c r="M144" s="122"/>
    </row>
    <row r="145" spans="1:13" s="3" customFormat="1" ht="15" customHeight="1" x14ac:dyDescent="0.3">
      <c r="A145" s="163" t="s">
        <v>159</v>
      </c>
      <c r="B145" s="51" t="s">
        <v>130</v>
      </c>
      <c r="C145" s="51"/>
      <c r="D145" s="51"/>
      <c r="E145" s="51"/>
      <c r="F145" s="52"/>
      <c r="G145" s="39" t="s">
        <v>126</v>
      </c>
      <c r="H145" s="40">
        <v>1</v>
      </c>
      <c r="I145" s="109">
        <v>10000</v>
      </c>
      <c r="J145" s="138">
        <f t="shared" si="16"/>
        <v>10000</v>
      </c>
      <c r="K145" s="26"/>
      <c r="L145" s="121" t="s">
        <v>385</v>
      </c>
      <c r="M145" s="122" t="s">
        <v>359</v>
      </c>
    </row>
    <row r="146" spans="1:13" ht="15" customHeight="1" x14ac:dyDescent="0.3">
      <c r="A146" s="163" t="s">
        <v>160</v>
      </c>
      <c r="B146" s="445" t="s">
        <v>399</v>
      </c>
      <c r="C146" s="445"/>
      <c r="D146" s="445"/>
      <c r="E146" s="445"/>
      <c r="F146" s="446"/>
      <c r="G146" s="57" t="s">
        <v>126</v>
      </c>
      <c r="H146" s="56">
        <v>1</v>
      </c>
      <c r="I146" s="141">
        <v>5000</v>
      </c>
      <c r="J146" s="77">
        <f t="shared" si="16"/>
        <v>5000</v>
      </c>
      <c r="L146" s="121" t="s">
        <v>385</v>
      </c>
      <c r="M146" s="136"/>
    </row>
    <row r="147" spans="1:13" ht="15" customHeight="1" x14ac:dyDescent="0.3">
      <c r="A147" s="163" t="s">
        <v>363</v>
      </c>
      <c r="B147" s="445" t="s">
        <v>131</v>
      </c>
      <c r="C147" s="445"/>
      <c r="D147" s="445"/>
      <c r="E147" s="445"/>
      <c r="F147" s="446"/>
      <c r="G147" s="39" t="s">
        <v>126</v>
      </c>
      <c r="H147" s="40">
        <v>1</v>
      </c>
      <c r="I147" s="109">
        <v>1200</v>
      </c>
      <c r="J147" s="138">
        <f t="shared" si="16"/>
        <v>1200</v>
      </c>
      <c r="K147" s="30"/>
      <c r="L147" s="121" t="s">
        <v>385</v>
      </c>
      <c r="M147" s="122"/>
    </row>
    <row r="148" spans="1:13" ht="15" customHeight="1" x14ac:dyDescent="0.3">
      <c r="A148" s="163" t="s">
        <v>367</v>
      </c>
      <c r="B148" s="51" t="s">
        <v>487</v>
      </c>
      <c r="C148" s="51"/>
      <c r="D148" s="51"/>
      <c r="E148" s="51"/>
      <c r="F148" s="52"/>
      <c r="G148" s="39" t="s">
        <v>126</v>
      </c>
      <c r="H148" s="40">
        <v>1</v>
      </c>
      <c r="I148" s="109">
        <v>2000</v>
      </c>
      <c r="J148" s="138">
        <f t="shared" si="16"/>
        <v>2000</v>
      </c>
      <c r="K148" s="30"/>
      <c r="L148" s="121" t="s">
        <v>385</v>
      </c>
      <c r="M148" s="122"/>
    </row>
    <row r="149" spans="1:13" ht="15" customHeight="1" x14ac:dyDescent="0.3">
      <c r="A149" s="163" t="s">
        <v>368</v>
      </c>
      <c r="B149" s="51" t="s">
        <v>482</v>
      </c>
      <c r="C149" s="51"/>
      <c r="D149" s="51"/>
      <c r="E149" s="51"/>
      <c r="F149" s="52"/>
      <c r="G149" s="39" t="s">
        <v>135</v>
      </c>
      <c r="H149" s="40">
        <v>2</v>
      </c>
      <c r="I149" s="109">
        <v>1450</v>
      </c>
      <c r="J149" s="138">
        <f t="shared" si="16"/>
        <v>2900</v>
      </c>
      <c r="K149" s="30"/>
      <c r="L149" s="121" t="s">
        <v>385</v>
      </c>
      <c r="M149" s="122"/>
    </row>
    <row r="150" spans="1:13" ht="15" customHeight="1" x14ac:dyDescent="0.3">
      <c r="A150" s="163" t="s">
        <v>499</v>
      </c>
      <c r="B150" s="445" t="s">
        <v>132</v>
      </c>
      <c r="C150" s="445"/>
      <c r="D150" s="445"/>
      <c r="E150" s="445"/>
      <c r="F150" s="446"/>
      <c r="G150" s="39" t="s">
        <v>126</v>
      </c>
      <c r="H150" s="40">
        <v>1</v>
      </c>
      <c r="I150" s="109">
        <v>280</v>
      </c>
      <c r="J150" s="138">
        <f t="shared" si="16"/>
        <v>280</v>
      </c>
      <c r="K150" s="30"/>
      <c r="L150" s="121" t="s">
        <v>385</v>
      </c>
      <c r="M150" s="122"/>
    </row>
    <row r="151" spans="1:13" ht="15" customHeight="1" thickBot="1" x14ac:dyDescent="0.35">
      <c r="A151" s="168" t="s">
        <v>324</v>
      </c>
      <c r="B151" s="447" t="s">
        <v>133</v>
      </c>
      <c r="C151" s="447"/>
      <c r="D151" s="447"/>
      <c r="E151" s="447"/>
      <c r="F151" s="447"/>
      <c r="G151" s="447"/>
      <c r="H151" s="447"/>
      <c r="I151" s="448"/>
      <c r="J151" s="158">
        <f>SUM(J133:J150)</f>
        <v>297271.24797999999</v>
      </c>
      <c r="K151" s="30"/>
      <c r="L151" s="140"/>
      <c r="M151" s="133"/>
    </row>
    <row r="152" spans="1:13" s="3" customFormat="1" ht="15" customHeight="1" thickBot="1" x14ac:dyDescent="0.35">
      <c r="A152" s="42"/>
      <c r="B152" s="167"/>
      <c r="C152" s="43"/>
      <c r="D152" s="43"/>
      <c r="E152" s="43"/>
      <c r="F152" s="43"/>
      <c r="G152" s="43"/>
      <c r="H152" s="43"/>
      <c r="I152" s="43"/>
      <c r="J152" s="44"/>
      <c r="K152" s="26"/>
      <c r="L152" s="132"/>
      <c r="M152" s="132"/>
    </row>
    <row r="153" spans="1:13" ht="15" customHeight="1" x14ac:dyDescent="0.3">
      <c r="A153" s="149" t="s">
        <v>23</v>
      </c>
      <c r="B153" s="452" t="s">
        <v>541</v>
      </c>
      <c r="C153" s="452"/>
      <c r="D153" s="452"/>
      <c r="E153" s="452"/>
      <c r="F153" s="452"/>
      <c r="G153" s="452"/>
      <c r="H153" s="452"/>
      <c r="I153" s="452"/>
      <c r="J153" s="453"/>
      <c r="K153" s="30"/>
      <c r="L153" s="123" t="s">
        <v>3</v>
      </c>
      <c r="M153" s="129" t="s">
        <v>229</v>
      </c>
    </row>
    <row r="154" spans="1:13" ht="15" customHeight="1" thickBot="1" x14ac:dyDescent="0.35">
      <c r="A154" s="162"/>
      <c r="B154" s="458" t="s">
        <v>378</v>
      </c>
      <c r="C154" s="458"/>
      <c r="D154" s="459"/>
      <c r="E154" s="49" t="s">
        <v>379</v>
      </c>
      <c r="F154" s="49" t="s">
        <v>380</v>
      </c>
      <c r="G154" s="45" t="s">
        <v>376</v>
      </c>
      <c r="H154" s="45" t="s">
        <v>41</v>
      </c>
      <c r="I154" s="49" t="s">
        <v>377</v>
      </c>
      <c r="J154" s="46" t="s">
        <v>337</v>
      </c>
      <c r="K154" s="30"/>
      <c r="L154" s="125"/>
      <c r="M154" s="125"/>
    </row>
    <row r="155" spans="1:13" ht="15" customHeight="1" thickTop="1" thickBot="1" x14ac:dyDescent="0.35">
      <c r="A155" s="163" t="s">
        <v>161</v>
      </c>
      <c r="B155" s="450" t="s">
        <v>632</v>
      </c>
      <c r="C155" s="450"/>
      <c r="D155" s="451"/>
      <c r="E155" s="148">
        <v>116.97</v>
      </c>
      <c r="F155" s="40">
        <f>H155*E155</f>
        <v>1403.6399999999999</v>
      </c>
      <c r="G155" s="39" t="s">
        <v>135</v>
      </c>
      <c r="H155" s="40">
        <v>12</v>
      </c>
      <c r="I155" s="141">
        <v>1504.57</v>
      </c>
      <c r="J155" s="191">
        <f>H155*I155</f>
        <v>18054.84</v>
      </c>
      <c r="K155" s="30"/>
      <c r="L155" s="121" t="s">
        <v>136</v>
      </c>
      <c r="M155" s="122" t="s">
        <v>392</v>
      </c>
    </row>
    <row r="156" spans="1:13" ht="15" customHeight="1" thickTop="1" thickBot="1" x14ac:dyDescent="0.35">
      <c r="A156" s="163" t="s">
        <v>163</v>
      </c>
      <c r="B156" s="450" t="s">
        <v>633</v>
      </c>
      <c r="C156" s="450"/>
      <c r="D156" s="451"/>
      <c r="E156" s="148">
        <v>81.209999999999994</v>
      </c>
      <c r="F156" s="40">
        <f>H156*E156</f>
        <v>32540.846999999998</v>
      </c>
      <c r="G156" s="39" t="s">
        <v>135</v>
      </c>
      <c r="H156" s="148">
        <v>400.7</v>
      </c>
      <c r="I156" s="141">
        <v>1087.1400000000001</v>
      </c>
      <c r="J156" s="191">
        <f>H156*I156</f>
        <v>435616.99800000002</v>
      </c>
      <c r="K156" s="30"/>
      <c r="L156" s="121" t="s">
        <v>136</v>
      </c>
      <c r="M156" s="122" t="s">
        <v>454</v>
      </c>
    </row>
    <row r="157" spans="1:13" ht="15" customHeight="1" thickTop="1" thickBot="1" x14ac:dyDescent="0.35">
      <c r="A157" s="163" t="s">
        <v>165</v>
      </c>
      <c r="B157" s="450" t="s">
        <v>634</v>
      </c>
      <c r="C157" s="450"/>
      <c r="D157" s="451"/>
      <c r="E157" s="148">
        <v>60.24</v>
      </c>
      <c r="F157" s="40">
        <f>H157*E157</f>
        <v>21084</v>
      </c>
      <c r="G157" s="39" t="s">
        <v>135</v>
      </c>
      <c r="H157" s="148">
        <v>350</v>
      </c>
      <c r="I157" s="141">
        <v>602.41999999999996</v>
      </c>
      <c r="J157" s="191">
        <f t="shared" ref="J157:J163" si="17">H157*I157</f>
        <v>210847</v>
      </c>
      <c r="K157" s="30"/>
      <c r="L157" s="121" t="s">
        <v>136</v>
      </c>
      <c r="M157" s="122" t="s">
        <v>455</v>
      </c>
    </row>
    <row r="158" spans="1:13" ht="15" customHeight="1" thickTop="1" thickBot="1" x14ac:dyDescent="0.35">
      <c r="A158" s="163" t="s">
        <v>167</v>
      </c>
      <c r="B158" s="450" t="s">
        <v>638</v>
      </c>
      <c r="C158" s="450"/>
      <c r="D158" s="451"/>
      <c r="E158" s="148"/>
      <c r="F158" s="40">
        <f>H158*E158</f>
        <v>0</v>
      </c>
      <c r="G158" s="39" t="s">
        <v>135</v>
      </c>
      <c r="H158" s="40">
        <v>30</v>
      </c>
      <c r="I158" s="141">
        <v>1782.83</v>
      </c>
      <c r="J158" s="191">
        <f t="shared" ref="J158" si="18">H158*I158</f>
        <v>53484.899999999994</v>
      </c>
      <c r="K158" s="30"/>
      <c r="L158" s="121" t="s">
        <v>136</v>
      </c>
      <c r="M158" s="128" t="s">
        <v>393</v>
      </c>
    </row>
    <row r="159" spans="1:13" ht="15" customHeight="1" thickTop="1" thickBot="1" x14ac:dyDescent="0.35">
      <c r="A159" s="163" t="s">
        <v>169</v>
      </c>
      <c r="B159" s="450" t="s">
        <v>635</v>
      </c>
      <c r="C159" s="460"/>
      <c r="D159" s="461"/>
      <c r="E159" s="148">
        <v>37</v>
      </c>
      <c r="F159" s="40">
        <f>H159*E159</f>
        <v>3330</v>
      </c>
      <c r="G159" s="39" t="s">
        <v>135</v>
      </c>
      <c r="H159" s="148">
        <v>90</v>
      </c>
      <c r="I159" s="141">
        <f>1926*(1+7%)</f>
        <v>2060.8200000000002</v>
      </c>
      <c r="J159" s="191">
        <f>H159*I159</f>
        <v>185473.80000000002</v>
      </c>
      <c r="K159" s="30"/>
      <c r="L159" s="121" t="s">
        <v>140</v>
      </c>
      <c r="M159" s="122" t="s">
        <v>394</v>
      </c>
    </row>
    <row r="160" spans="1:13" ht="15" customHeight="1" thickTop="1" x14ac:dyDescent="0.3">
      <c r="A160" s="163" t="s">
        <v>172</v>
      </c>
      <c r="B160" s="387" t="s">
        <v>522</v>
      </c>
      <c r="C160" s="365"/>
      <c r="D160" s="365"/>
      <c r="E160" s="365"/>
      <c r="F160" s="165"/>
      <c r="G160" s="39" t="s">
        <v>523</v>
      </c>
      <c r="H160" s="40">
        <v>1</v>
      </c>
      <c r="I160" s="109">
        <v>15000</v>
      </c>
      <c r="J160" s="77">
        <f t="shared" si="17"/>
        <v>15000</v>
      </c>
      <c r="L160" s="121"/>
      <c r="M160" s="122"/>
    </row>
    <row r="161" spans="1:13" ht="15" customHeight="1" x14ac:dyDescent="0.3">
      <c r="A161" s="163" t="s">
        <v>173</v>
      </c>
      <c r="B161" s="449" t="s">
        <v>636</v>
      </c>
      <c r="C161" s="450"/>
      <c r="D161" s="450"/>
      <c r="E161" s="450"/>
      <c r="F161" s="451"/>
      <c r="G161" s="39" t="s">
        <v>143</v>
      </c>
      <c r="H161" s="40">
        <v>1</v>
      </c>
      <c r="I161" s="141">
        <v>660</v>
      </c>
      <c r="J161" s="77">
        <f t="shared" si="17"/>
        <v>660</v>
      </c>
      <c r="L161" s="121" t="s">
        <v>142</v>
      </c>
      <c r="M161" s="122"/>
    </row>
    <row r="162" spans="1:13" s="3" customFormat="1" ht="15" customHeight="1" x14ac:dyDescent="0.3">
      <c r="A162" s="163" t="s">
        <v>176</v>
      </c>
      <c r="B162" s="444" t="s">
        <v>144</v>
      </c>
      <c r="C162" s="445"/>
      <c r="D162" s="445"/>
      <c r="E162" s="445"/>
      <c r="F162" s="446"/>
      <c r="G162" s="39" t="s">
        <v>126</v>
      </c>
      <c r="H162" s="40">
        <v>1</v>
      </c>
      <c r="I162" s="109">
        <v>10000</v>
      </c>
      <c r="J162" s="77">
        <f t="shared" si="17"/>
        <v>10000</v>
      </c>
      <c r="K162" s="26"/>
      <c r="L162" s="121" t="s">
        <v>145</v>
      </c>
      <c r="M162" s="122" t="s">
        <v>365</v>
      </c>
    </row>
    <row r="163" spans="1:13" ht="15" customHeight="1" x14ac:dyDescent="0.3">
      <c r="A163" s="163" t="s">
        <v>506</v>
      </c>
      <c r="B163" s="444" t="s">
        <v>366</v>
      </c>
      <c r="C163" s="445"/>
      <c r="D163" s="445"/>
      <c r="E163" s="445"/>
      <c r="F163" s="446"/>
      <c r="G163" s="39" t="s">
        <v>113</v>
      </c>
      <c r="H163" s="148">
        <f>82*1.5</f>
        <v>123</v>
      </c>
      <c r="I163" s="141">
        <v>300</v>
      </c>
      <c r="J163" s="77">
        <f t="shared" si="17"/>
        <v>36900</v>
      </c>
      <c r="L163" s="121" t="s">
        <v>364</v>
      </c>
      <c r="M163" s="122" t="s">
        <v>466</v>
      </c>
    </row>
    <row r="164" spans="1:13" s="3" customFormat="1" ht="15" customHeight="1" thickBot="1" x14ac:dyDescent="0.35">
      <c r="A164" s="159" t="s">
        <v>324</v>
      </c>
      <c r="B164" s="456" t="s">
        <v>146</v>
      </c>
      <c r="C164" s="456"/>
      <c r="D164" s="456"/>
      <c r="E164" s="456"/>
      <c r="F164" s="456"/>
      <c r="G164" s="456"/>
      <c r="H164" s="456"/>
      <c r="I164" s="457"/>
      <c r="J164" s="158">
        <f>SUM(J155:J163)</f>
        <v>966037.53800000006</v>
      </c>
      <c r="K164" s="26"/>
      <c r="L164" s="137"/>
      <c r="M164" s="133"/>
    </row>
    <row r="165" spans="1:13" s="3" customFormat="1" ht="15" customHeight="1" thickBot="1" x14ac:dyDescent="0.35">
      <c r="A165" s="42"/>
      <c r="B165" s="43"/>
      <c r="C165" s="43"/>
      <c r="D165" s="43"/>
      <c r="E165" s="43"/>
      <c r="F165" s="43"/>
      <c r="G165" s="43"/>
      <c r="H165" s="43"/>
      <c r="I165" s="43"/>
      <c r="J165" s="44"/>
      <c r="K165" s="26"/>
      <c r="L165" s="121"/>
      <c r="M165" s="121"/>
    </row>
    <row r="166" spans="1:13" s="4" customFormat="1" ht="15" customHeight="1" x14ac:dyDescent="0.3">
      <c r="A166" s="149" t="s">
        <v>23</v>
      </c>
      <c r="B166" s="452" t="s">
        <v>542</v>
      </c>
      <c r="C166" s="452"/>
      <c r="D166" s="452"/>
      <c r="E166" s="452"/>
      <c r="F166" s="452"/>
      <c r="G166" s="452"/>
      <c r="H166" s="452"/>
      <c r="I166" s="452"/>
      <c r="J166" s="453"/>
      <c r="K166" s="31"/>
      <c r="L166" s="123" t="s">
        <v>3</v>
      </c>
      <c r="M166" s="129" t="s">
        <v>229</v>
      </c>
    </row>
    <row r="167" spans="1:13" s="4" customFormat="1" ht="15" customHeight="1" x14ac:dyDescent="0.3">
      <c r="A167" s="216"/>
      <c r="B167" s="458" t="s">
        <v>378</v>
      </c>
      <c r="C167" s="458"/>
      <c r="D167" s="458"/>
      <c r="E167" s="458"/>
      <c r="F167" s="459"/>
      <c r="G167" s="45" t="s">
        <v>376</v>
      </c>
      <c r="H167" s="45" t="s">
        <v>41</v>
      </c>
      <c r="I167" s="49" t="s">
        <v>377</v>
      </c>
      <c r="J167" s="46" t="s">
        <v>337</v>
      </c>
      <c r="K167" s="31"/>
      <c r="L167" s="125"/>
      <c r="M167" s="125"/>
    </row>
    <row r="168" spans="1:13" s="4" customFormat="1" ht="15" customHeight="1" x14ac:dyDescent="0.3">
      <c r="A168" s="163" t="s">
        <v>543</v>
      </c>
      <c r="B168" s="444" t="s">
        <v>162</v>
      </c>
      <c r="C168" s="445"/>
      <c r="D168" s="445"/>
      <c r="E168" s="445"/>
      <c r="F168" s="446"/>
      <c r="G168" s="57" t="s">
        <v>135</v>
      </c>
      <c r="H168" s="56">
        <f>$G$7</f>
        <v>870</v>
      </c>
      <c r="I168" s="109">
        <f>'Perfil Master'!$E$25</f>
        <v>42.814942528735635</v>
      </c>
      <c r="J168" s="77">
        <f t="shared" ref="J168:J197" si="19">H168*I168</f>
        <v>37249</v>
      </c>
      <c r="K168" s="31"/>
      <c r="L168" s="121" t="s">
        <v>404</v>
      </c>
      <c r="M168" s="122" t="s">
        <v>405</v>
      </c>
    </row>
    <row r="169" spans="1:13" s="4" customFormat="1" ht="15" customHeight="1" x14ac:dyDescent="0.3">
      <c r="A169" s="163" t="s">
        <v>544</v>
      </c>
      <c r="B169" s="444" t="s">
        <v>164</v>
      </c>
      <c r="C169" s="445"/>
      <c r="D169" s="445"/>
      <c r="E169" s="445"/>
      <c r="F169" s="446"/>
      <c r="G169" s="57" t="s">
        <v>135</v>
      </c>
      <c r="H169" s="56">
        <f t="shared" ref="H169:H170" si="20">$G$7</f>
        <v>870</v>
      </c>
      <c r="I169" s="109">
        <f>'Perfil Master'!$E$24</f>
        <v>33.314942528735635</v>
      </c>
      <c r="J169" s="77">
        <f t="shared" si="19"/>
        <v>28984.000000000004</v>
      </c>
      <c r="K169" s="31"/>
      <c r="L169" s="121" t="s">
        <v>404</v>
      </c>
      <c r="M169" s="122" t="s">
        <v>405</v>
      </c>
    </row>
    <row r="170" spans="1:13" s="4" customFormat="1" ht="15" customHeight="1" x14ac:dyDescent="0.3">
      <c r="A170" s="163" t="s">
        <v>545</v>
      </c>
      <c r="B170" s="444" t="s">
        <v>166</v>
      </c>
      <c r="C170" s="445"/>
      <c r="D170" s="445"/>
      <c r="E170" s="445"/>
      <c r="F170" s="446"/>
      <c r="G170" s="57" t="s">
        <v>135</v>
      </c>
      <c r="H170" s="56">
        <f t="shared" si="20"/>
        <v>870</v>
      </c>
      <c r="I170" s="109">
        <f>'Perfil Master'!$E$23</f>
        <v>23.108045977011493</v>
      </c>
      <c r="J170" s="77">
        <f t="shared" si="19"/>
        <v>20104</v>
      </c>
      <c r="K170" s="31"/>
      <c r="L170" s="121" t="s">
        <v>404</v>
      </c>
      <c r="M170" s="122" t="s">
        <v>405</v>
      </c>
    </row>
    <row r="171" spans="1:13" s="4" customFormat="1" ht="15" customHeight="1" x14ac:dyDescent="0.3">
      <c r="A171" s="163" t="s">
        <v>546</v>
      </c>
      <c r="B171" s="444" t="s">
        <v>475</v>
      </c>
      <c r="C171" s="445"/>
      <c r="D171" s="445"/>
      <c r="E171" s="445"/>
      <c r="F171" s="446"/>
      <c r="G171" s="57" t="s">
        <v>168</v>
      </c>
      <c r="H171" s="56">
        <f>ROUNDUP((($D$11-I$15)/30),0)</f>
        <v>4</v>
      </c>
      <c r="I171" s="109">
        <v>6500</v>
      </c>
      <c r="J171" s="77">
        <f t="shared" si="19"/>
        <v>26000</v>
      </c>
      <c r="K171" s="31"/>
      <c r="L171" s="121" t="s">
        <v>385</v>
      </c>
      <c r="M171" s="136"/>
    </row>
    <row r="172" spans="1:13" s="4" customFormat="1" ht="15" customHeight="1" x14ac:dyDescent="0.3">
      <c r="A172" s="163" t="s">
        <v>547</v>
      </c>
      <c r="B172" s="444" t="s">
        <v>170</v>
      </c>
      <c r="C172" s="445"/>
      <c r="D172" s="445"/>
      <c r="E172" s="445"/>
      <c r="F172" s="446"/>
      <c r="G172" s="57" t="s">
        <v>168</v>
      </c>
      <c r="H172" s="56">
        <f>ROUNDUP((($D$11-I$15)/30),0)</f>
        <v>4</v>
      </c>
      <c r="I172" s="109">
        <v>4500</v>
      </c>
      <c r="J172" s="77">
        <f>H172*I172</f>
        <v>18000</v>
      </c>
      <c r="K172" s="31"/>
      <c r="L172" s="121" t="s">
        <v>385</v>
      </c>
      <c r="M172" s="136"/>
    </row>
    <row r="173" spans="1:13" s="4" customFormat="1" ht="15" customHeight="1" x14ac:dyDescent="0.3">
      <c r="A173" s="163" t="s">
        <v>548</v>
      </c>
      <c r="B173" s="444" t="s">
        <v>403</v>
      </c>
      <c r="C173" s="445"/>
      <c r="D173" s="445"/>
      <c r="E173" s="445"/>
      <c r="F173" s="446"/>
      <c r="G173" s="57" t="s">
        <v>126</v>
      </c>
      <c r="H173" s="56">
        <v>1</v>
      </c>
      <c r="I173" s="153">
        <v>2000</v>
      </c>
      <c r="J173" s="77">
        <f t="shared" si="19"/>
        <v>2000</v>
      </c>
      <c r="K173" s="31"/>
      <c r="L173" s="121" t="s">
        <v>385</v>
      </c>
      <c r="M173" s="136"/>
    </row>
    <row r="174" spans="1:13" s="4" customFormat="1" ht="15" customHeight="1" x14ac:dyDescent="0.3">
      <c r="A174" s="163" t="s">
        <v>549</v>
      </c>
      <c r="B174" s="444" t="s">
        <v>412</v>
      </c>
      <c r="C174" s="445"/>
      <c r="D174" s="445"/>
      <c r="E174" s="445"/>
      <c r="F174" s="446"/>
      <c r="G174" s="57" t="s">
        <v>171</v>
      </c>
      <c r="H174" s="56">
        <v>1</v>
      </c>
      <c r="I174" s="153">
        <v>3600</v>
      </c>
      <c r="J174" s="77">
        <f t="shared" si="19"/>
        <v>3600</v>
      </c>
      <c r="K174" s="31"/>
      <c r="L174" s="121" t="s">
        <v>385</v>
      </c>
      <c r="M174" s="122" t="s">
        <v>400</v>
      </c>
    </row>
    <row r="175" spans="1:13" s="4" customFormat="1" ht="15" customHeight="1" x14ac:dyDescent="0.3">
      <c r="A175" s="163" t="s">
        <v>550</v>
      </c>
      <c r="B175" s="444" t="s">
        <v>413</v>
      </c>
      <c r="C175" s="445"/>
      <c r="D175" s="445"/>
      <c r="E175" s="445"/>
      <c r="F175" s="446"/>
      <c r="G175" s="57" t="s">
        <v>171</v>
      </c>
      <c r="H175" s="56">
        <v>1</v>
      </c>
      <c r="I175" s="153">
        <v>3600</v>
      </c>
      <c r="J175" s="77">
        <f t="shared" si="19"/>
        <v>3600</v>
      </c>
      <c r="K175" s="31"/>
      <c r="L175" s="121" t="s">
        <v>385</v>
      </c>
      <c r="M175" s="122" t="s">
        <v>400</v>
      </c>
    </row>
    <row r="176" spans="1:13" s="4" customFormat="1" ht="15" customHeight="1" x14ac:dyDescent="0.3">
      <c r="A176" s="163" t="s">
        <v>551</v>
      </c>
      <c r="B176" s="444" t="s">
        <v>401</v>
      </c>
      <c r="C176" s="445"/>
      <c r="D176" s="445"/>
      <c r="E176" s="445"/>
      <c r="F176" s="446"/>
      <c r="G176" s="57" t="s">
        <v>126</v>
      </c>
      <c r="H176" s="56">
        <v>1</v>
      </c>
      <c r="I176" s="153">
        <v>1200</v>
      </c>
      <c r="J176" s="77">
        <f t="shared" si="19"/>
        <v>1200</v>
      </c>
      <c r="K176" s="31"/>
      <c r="L176" s="121" t="s">
        <v>385</v>
      </c>
      <c r="M176" s="136"/>
    </row>
    <row r="177" spans="1:13" s="4" customFormat="1" ht="15" customHeight="1" x14ac:dyDescent="0.3">
      <c r="A177" s="163" t="s">
        <v>552</v>
      </c>
      <c r="B177" s="444" t="s">
        <v>411</v>
      </c>
      <c r="C177" s="445"/>
      <c r="D177" s="445"/>
      <c r="E177" s="445"/>
      <c r="F177" s="446"/>
      <c r="G177" s="57" t="s">
        <v>171</v>
      </c>
      <c r="H177" s="56">
        <v>3</v>
      </c>
      <c r="I177" s="153">
        <v>3500</v>
      </c>
      <c r="J177" s="77">
        <f t="shared" si="19"/>
        <v>10500</v>
      </c>
      <c r="K177" s="31"/>
      <c r="L177" s="121" t="s">
        <v>385</v>
      </c>
      <c r="M177" s="136"/>
    </row>
    <row r="178" spans="1:13" s="4" customFormat="1" ht="15" customHeight="1" x14ac:dyDescent="0.3">
      <c r="A178" s="163" t="s">
        <v>553</v>
      </c>
      <c r="B178" s="444" t="s">
        <v>401</v>
      </c>
      <c r="C178" s="445"/>
      <c r="D178" s="445"/>
      <c r="E178" s="445"/>
      <c r="F178" s="446"/>
      <c r="G178" s="57" t="s">
        <v>171</v>
      </c>
      <c r="H178" s="56">
        <v>1</v>
      </c>
      <c r="I178" s="153">
        <v>1200</v>
      </c>
      <c r="J178" s="77">
        <f t="shared" si="19"/>
        <v>1200</v>
      </c>
      <c r="K178" s="31"/>
      <c r="L178" s="121" t="s">
        <v>385</v>
      </c>
      <c r="M178" s="136"/>
    </row>
    <row r="179" spans="1:13" s="4" customFormat="1" ht="15" customHeight="1" x14ac:dyDescent="0.3">
      <c r="A179" s="163" t="s">
        <v>554</v>
      </c>
      <c r="B179" s="444" t="s">
        <v>410</v>
      </c>
      <c r="C179" s="445"/>
      <c r="D179" s="445"/>
      <c r="E179" s="445"/>
      <c r="F179" s="446"/>
      <c r="G179" s="57" t="s">
        <v>171</v>
      </c>
      <c r="H179" s="56">
        <v>3</v>
      </c>
      <c r="I179" s="153">
        <v>3500</v>
      </c>
      <c r="J179" s="77">
        <f t="shared" si="19"/>
        <v>10500</v>
      </c>
      <c r="K179" s="31"/>
      <c r="L179" s="121" t="s">
        <v>385</v>
      </c>
      <c r="M179" s="136"/>
    </row>
    <row r="180" spans="1:13" s="4" customFormat="1" ht="15" customHeight="1" x14ac:dyDescent="0.3">
      <c r="A180" s="163" t="s">
        <v>555</v>
      </c>
      <c r="B180" s="444" t="s">
        <v>401</v>
      </c>
      <c r="C180" s="445"/>
      <c r="D180" s="445"/>
      <c r="E180" s="445"/>
      <c r="F180" s="446"/>
      <c r="G180" s="57" t="s">
        <v>126</v>
      </c>
      <c r="H180" s="56">
        <v>1</v>
      </c>
      <c r="I180" s="153">
        <v>1200</v>
      </c>
      <c r="J180" s="77">
        <f t="shared" si="19"/>
        <v>1200</v>
      </c>
      <c r="K180" s="31"/>
      <c r="L180" s="121" t="s">
        <v>385</v>
      </c>
      <c r="M180" s="136"/>
    </row>
    <row r="181" spans="1:13" s="4" customFormat="1" ht="15" customHeight="1" x14ac:dyDescent="0.3">
      <c r="A181" s="163" t="s">
        <v>556</v>
      </c>
      <c r="B181" s="444" t="s">
        <v>408</v>
      </c>
      <c r="C181" s="445"/>
      <c r="D181" s="445"/>
      <c r="E181" s="445"/>
      <c r="F181" s="446"/>
      <c r="G181" s="57" t="s">
        <v>171</v>
      </c>
      <c r="H181" s="56">
        <v>1</v>
      </c>
      <c r="I181" s="153">
        <v>4500</v>
      </c>
      <c r="J181" s="77">
        <f t="shared" si="19"/>
        <v>4500</v>
      </c>
      <c r="K181" s="31"/>
      <c r="L181" s="121" t="s">
        <v>385</v>
      </c>
      <c r="M181" s="136"/>
    </row>
    <row r="182" spans="1:13" s="4" customFormat="1" ht="15" customHeight="1" x14ac:dyDescent="0.3">
      <c r="A182" s="163" t="s">
        <v>557</v>
      </c>
      <c r="B182" s="444" t="s">
        <v>401</v>
      </c>
      <c r="C182" s="445"/>
      <c r="D182" s="445"/>
      <c r="E182" s="445"/>
      <c r="F182" s="446"/>
      <c r="G182" s="57" t="s">
        <v>171</v>
      </c>
      <c r="H182" s="56">
        <v>1</v>
      </c>
      <c r="I182" s="153">
        <v>1200</v>
      </c>
      <c r="J182" s="77">
        <f t="shared" si="19"/>
        <v>1200</v>
      </c>
      <c r="K182" s="31"/>
      <c r="L182" s="121" t="s">
        <v>385</v>
      </c>
      <c r="M182" s="136"/>
    </row>
    <row r="183" spans="1:13" s="4" customFormat="1" ht="15" customHeight="1" x14ac:dyDescent="0.3">
      <c r="A183" s="163" t="s">
        <v>558</v>
      </c>
      <c r="B183" s="444" t="s">
        <v>409</v>
      </c>
      <c r="C183" s="445"/>
      <c r="D183" s="445"/>
      <c r="E183" s="445"/>
      <c r="F183" s="446"/>
      <c r="G183" s="57" t="s">
        <v>171</v>
      </c>
      <c r="H183" s="56">
        <v>1</v>
      </c>
      <c r="I183" s="153">
        <v>4500</v>
      </c>
      <c r="J183" s="77">
        <f t="shared" si="19"/>
        <v>4500</v>
      </c>
      <c r="K183" s="31"/>
      <c r="L183" s="121" t="s">
        <v>385</v>
      </c>
      <c r="M183" s="136"/>
    </row>
    <row r="184" spans="1:13" s="4" customFormat="1" ht="15" customHeight="1" x14ac:dyDescent="0.3">
      <c r="A184" s="163" t="s">
        <v>559</v>
      </c>
      <c r="B184" s="449" t="s">
        <v>402</v>
      </c>
      <c r="C184" s="450"/>
      <c r="D184" s="450"/>
      <c r="E184" s="450"/>
      <c r="F184" s="451"/>
      <c r="G184" s="304" t="s">
        <v>171</v>
      </c>
      <c r="H184" s="155">
        <f>ROUNDUP($I$21+1,0)*$D$122</f>
        <v>8</v>
      </c>
      <c r="I184" s="305">
        <v>2500</v>
      </c>
      <c r="J184" s="306">
        <f t="shared" ref="J184" si="21">H184*I184</f>
        <v>20000</v>
      </c>
      <c r="K184" s="31"/>
      <c r="L184" s="121" t="s">
        <v>385</v>
      </c>
      <c r="M184" s="122" t="s">
        <v>476</v>
      </c>
    </row>
    <row r="185" spans="1:13" s="4" customFormat="1" ht="15" customHeight="1" x14ac:dyDescent="0.3">
      <c r="A185" s="163" t="s">
        <v>560</v>
      </c>
      <c r="B185" s="492" t="s">
        <v>174</v>
      </c>
      <c r="C185" s="462"/>
      <c r="D185" s="462"/>
      <c r="E185" s="462"/>
      <c r="F185" s="463"/>
      <c r="G185" s="57" t="s">
        <v>126</v>
      </c>
      <c r="H185" s="155">
        <v>1</v>
      </c>
      <c r="I185" s="154">
        <v>60000</v>
      </c>
      <c r="J185" s="77">
        <f t="shared" si="19"/>
        <v>60000</v>
      </c>
      <c r="K185" s="31"/>
      <c r="L185" s="121" t="s">
        <v>385</v>
      </c>
      <c r="M185" s="122" t="s">
        <v>382</v>
      </c>
    </row>
    <row r="186" spans="1:13" s="4" customFormat="1" ht="15" customHeight="1" x14ac:dyDescent="0.3">
      <c r="A186" s="163" t="s">
        <v>561</v>
      </c>
      <c r="B186" s="492" t="s">
        <v>381</v>
      </c>
      <c r="C186" s="462"/>
      <c r="D186" s="462"/>
      <c r="E186" s="462"/>
      <c r="F186" s="463"/>
      <c r="G186" s="57" t="s">
        <v>126</v>
      </c>
      <c r="H186" s="56">
        <f>ROUNDUP(($D$138*3)/16,0)</f>
        <v>30</v>
      </c>
      <c r="I186" s="151">
        <v>150</v>
      </c>
      <c r="J186" s="77">
        <f t="shared" si="19"/>
        <v>4500</v>
      </c>
      <c r="K186" s="31"/>
      <c r="L186" s="121" t="s">
        <v>385</v>
      </c>
      <c r="M186" s="122" t="s">
        <v>416</v>
      </c>
    </row>
    <row r="187" spans="1:13" s="4" customFormat="1" ht="15" customHeight="1" x14ac:dyDescent="0.3">
      <c r="A187" s="163" t="s">
        <v>562</v>
      </c>
      <c r="B187" s="492" t="s">
        <v>414</v>
      </c>
      <c r="C187" s="462"/>
      <c r="D187" s="462"/>
      <c r="E187" s="462"/>
      <c r="F187" s="463"/>
      <c r="G187" s="39" t="s">
        <v>175</v>
      </c>
      <c r="H187" s="56">
        <v>0</v>
      </c>
      <c r="I187" s="153">
        <v>4521.5999999999995</v>
      </c>
      <c r="J187" s="77">
        <f t="shared" ref="J187:J189" si="22">H187*I187</f>
        <v>0</v>
      </c>
      <c r="K187" s="31"/>
      <c r="L187" s="121" t="s">
        <v>385</v>
      </c>
      <c r="M187" s="122" t="s">
        <v>383</v>
      </c>
    </row>
    <row r="188" spans="1:13" s="4" customFormat="1" ht="15" customHeight="1" x14ac:dyDescent="0.3">
      <c r="A188" s="163" t="s">
        <v>563</v>
      </c>
      <c r="B188" s="492" t="s">
        <v>415</v>
      </c>
      <c r="C188" s="462"/>
      <c r="D188" s="462"/>
      <c r="E188" s="462"/>
      <c r="F188" s="463"/>
      <c r="G188" s="39" t="s">
        <v>121</v>
      </c>
      <c r="H188" s="56">
        <v>0</v>
      </c>
      <c r="I188" s="153">
        <v>0.4</v>
      </c>
      <c r="J188" s="77">
        <f t="shared" si="22"/>
        <v>0</v>
      </c>
      <c r="K188" s="31"/>
      <c r="L188" s="121" t="s">
        <v>385</v>
      </c>
      <c r="M188" s="122" t="s">
        <v>384</v>
      </c>
    </row>
    <row r="189" spans="1:13" ht="15" customHeight="1" x14ac:dyDescent="0.3">
      <c r="A189" s="163" t="s">
        <v>564</v>
      </c>
      <c r="B189" s="492" t="s">
        <v>178</v>
      </c>
      <c r="C189" s="462"/>
      <c r="D189" s="462"/>
      <c r="E189" s="462"/>
      <c r="F189" s="463"/>
      <c r="G189" s="57" t="s">
        <v>168</v>
      </c>
      <c r="H189" s="56">
        <v>2</v>
      </c>
      <c r="I189" s="109">
        <v>3790</v>
      </c>
      <c r="J189" s="77">
        <f t="shared" si="22"/>
        <v>7580</v>
      </c>
      <c r="L189" s="121" t="s">
        <v>385</v>
      </c>
      <c r="M189" s="122" t="s">
        <v>382</v>
      </c>
    </row>
    <row r="190" spans="1:13" s="4" customFormat="1" ht="15" customHeight="1" x14ac:dyDescent="0.3">
      <c r="A190" s="163" t="s">
        <v>565</v>
      </c>
      <c r="B190" s="444" t="s">
        <v>477</v>
      </c>
      <c r="C190" s="445"/>
      <c r="D190" s="445"/>
      <c r="E190" s="445"/>
      <c r="F190" s="446"/>
      <c r="G190" s="39" t="s">
        <v>171</v>
      </c>
      <c r="H190" s="214">
        <v>4</v>
      </c>
      <c r="I190" s="153">
        <v>1900</v>
      </c>
      <c r="J190" s="77">
        <f t="shared" si="19"/>
        <v>7600</v>
      </c>
      <c r="K190" s="31"/>
      <c r="L190" s="121" t="s">
        <v>385</v>
      </c>
      <c r="M190" s="122" t="s">
        <v>417</v>
      </c>
    </row>
    <row r="191" spans="1:13" s="4" customFormat="1" ht="15" customHeight="1" x14ac:dyDescent="0.3">
      <c r="A191" s="163" t="s">
        <v>566</v>
      </c>
      <c r="B191" s="449" t="s">
        <v>448</v>
      </c>
      <c r="C191" s="450"/>
      <c r="D191" s="450"/>
      <c r="E191" s="450"/>
      <c r="F191" s="451"/>
      <c r="G191" s="307" t="s">
        <v>126</v>
      </c>
      <c r="H191" s="155">
        <v>0</v>
      </c>
      <c r="I191" s="305">
        <v>20000</v>
      </c>
      <c r="J191" s="306">
        <f t="shared" si="19"/>
        <v>0</v>
      </c>
      <c r="K191" s="31"/>
      <c r="L191" s="121" t="s">
        <v>385</v>
      </c>
      <c r="M191" s="122" t="s">
        <v>449</v>
      </c>
    </row>
    <row r="192" spans="1:13" ht="15" customHeight="1" x14ac:dyDescent="0.3">
      <c r="A192" s="163" t="s">
        <v>567</v>
      </c>
      <c r="B192" s="444" t="s">
        <v>177</v>
      </c>
      <c r="C192" s="445"/>
      <c r="D192" s="445"/>
      <c r="E192" s="445"/>
      <c r="F192" s="446"/>
      <c r="G192" s="57" t="s">
        <v>126</v>
      </c>
      <c r="H192" s="56">
        <v>1</v>
      </c>
      <c r="I192" s="109">
        <v>6500</v>
      </c>
      <c r="J192" s="77">
        <f t="shared" si="19"/>
        <v>6500</v>
      </c>
      <c r="L192" s="121" t="s">
        <v>385</v>
      </c>
      <c r="M192" s="136"/>
    </row>
    <row r="193" spans="1:13" ht="15" customHeight="1" x14ac:dyDescent="0.3">
      <c r="A193" s="163" t="s">
        <v>568</v>
      </c>
      <c r="B193" s="444" t="s">
        <v>179</v>
      </c>
      <c r="C193" s="445"/>
      <c r="D193" s="445"/>
      <c r="E193" s="445"/>
      <c r="F193" s="446"/>
      <c r="G193" s="57" t="s">
        <v>171</v>
      </c>
      <c r="H193" s="56">
        <f>$I$79</f>
        <v>100</v>
      </c>
      <c r="I193" s="109">
        <v>214.12</v>
      </c>
      <c r="J193" s="77">
        <f t="shared" si="19"/>
        <v>21412</v>
      </c>
      <c r="L193" s="121" t="s">
        <v>180</v>
      </c>
      <c r="M193" s="136"/>
    </row>
    <row r="194" spans="1:13" ht="15" customHeight="1" x14ac:dyDescent="0.3">
      <c r="A194" s="163" t="s">
        <v>569</v>
      </c>
      <c r="B194" s="444" t="s">
        <v>470</v>
      </c>
      <c r="C194" s="445"/>
      <c r="D194" s="445"/>
      <c r="E194" s="445"/>
      <c r="F194" s="446"/>
      <c r="G194" s="57" t="s">
        <v>171</v>
      </c>
      <c r="H194" s="57">
        <f>$I$82*2</f>
        <v>200</v>
      </c>
      <c r="I194" s="109">
        <v>76.819999999999993</v>
      </c>
      <c r="J194" s="77">
        <f t="shared" si="19"/>
        <v>15363.999999999998</v>
      </c>
      <c r="L194" s="121" t="s">
        <v>180</v>
      </c>
      <c r="M194" s="136"/>
    </row>
    <row r="195" spans="1:13" ht="15" customHeight="1" x14ac:dyDescent="0.3">
      <c r="A195" s="163" t="s">
        <v>570</v>
      </c>
      <c r="B195" s="444" t="s">
        <v>181</v>
      </c>
      <c r="C195" s="445"/>
      <c r="D195" s="445"/>
      <c r="E195" s="445"/>
      <c r="F195" s="446"/>
      <c r="G195" s="57" t="s">
        <v>171</v>
      </c>
      <c r="H195" s="56">
        <f>$I$77</f>
        <v>100</v>
      </c>
      <c r="I195" s="109">
        <v>120.14</v>
      </c>
      <c r="J195" s="77">
        <f t="shared" si="19"/>
        <v>12014</v>
      </c>
      <c r="L195" s="121" t="s">
        <v>180</v>
      </c>
      <c r="M195" s="136"/>
    </row>
    <row r="196" spans="1:13" ht="15" customHeight="1" x14ac:dyDescent="0.3">
      <c r="A196" s="163" t="s">
        <v>571</v>
      </c>
      <c r="B196" s="444" t="s">
        <v>182</v>
      </c>
      <c r="C196" s="445"/>
      <c r="D196" s="445"/>
      <c r="E196" s="445"/>
      <c r="F196" s="446"/>
      <c r="G196" s="57" t="s">
        <v>171</v>
      </c>
      <c r="H196" s="56">
        <f>$I$76</f>
        <v>50</v>
      </c>
      <c r="I196" s="109">
        <v>97.26</v>
      </c>
      <c r="J196" s="77">
        <f t="shared" si="19"/>
        <v>4863</v>
      </c>
      <c r="L196" s="121" t="s">
        <v>180</v>
      </c>
      <c r="M196" s="136"/>
    </row>
    <row r="197" spans="1:13" ht="15" customHeight="1" x14ac:dyDescent="0.3">
      <c r="A197" s="163" t="s">
        <v>572</v>
      </c>
      <c r="B197" s="444" t="s">
        <v>183</v>
      </c>
      <c r="C197" s="445"/>
      <c r="D197" s="445"/>
      <c r="E197" s="445"/>
      <c r="F197" s="446"/>
      <c r="G197" s="57" t="s">
        <v>126</v>
      </c>
      <c r="H197" s="56">
        <v>1</v>
      </c>
      <c r="I197" s="109">
        <v>6500</v>
      </c>
      <c r="J197" s="77">
        <f t="shared" si="19"/>
        <v>6500</v>
      </c>
      <c r="L197" s="121" t="s">
        <v>385</v>
      </c>
      <c r="M197" s="122" t="s">
        <v>450</v>
      </c>
    </row>
    <row r="198" spans="1:13" s="3" customFormat="1" ht="15" customHeight="1" thickBot="1" x14ac:dyDescent="0.35">
      <c r="A198" s="159" t="s">
        <v>324</v>
      </c>
      <c r="B198" s="447" t="s">
        <v>184</v>
      </c>
      <c r="C198" s="447"/>
      <c r="D198" s="447"/>
      <c r="E198" s="447"/>
      <c r="F198" s="447"/>
      <c r="G198" s="447"/>
      <c r="H198" s="447"/>
      <c r="I198" s="448"/>
      <c r="J198" s="217">
        <f>SUM(J168:J197)</f>
        <v>340670</v>
      </c>
      <c r="K198" s="26"/>
      <c r="L198" s="137"/>
      <c r="M198" s="133"/>
    </row>
    <row r="199" spans="1:13" s="3" customFormat="1" ht="15" customHeight="1" thickBot="1" x14ac:dyDescent="0.35">
      <c r="A199" s="42"/>
      <c r="B199" s="43"/>
      <c r="C199" s="43"/>
      <c r="D199" s="43"/>
      <c r="E199" s="43"/>
      <c r="F199" s="43"/>
      <c r="G199" s="43"/>
      <c r="H199" s="43"/>
      <c r="I199" s="43"/>
      <c r="J199" s="44"/>
      <c r="K199" s="26"/>
      <c r="L199" s="174"/>
      <c r="M199" s="175"/>
    </row>
    <row r="200" spans="1:13" ht="15" customHeight="1" x14ac:dyDescent="0.3">
      <c r="A200" s="171" t="s">
        <v>23</v>
      </c>
      <c r="B200" s="172" t="s">
        <v>185</v>
      </c>
      <c r="C200" s="172"/>
      <c r="D200" s="172"/>
      <c r="E200" s="172"/>
      <c r="F200" s="172"/>
      <c r="G200" s="172"/>
      <c r="H200" s="172"/>
      <c r="I200" s="172"/>
      <c r="J200" s="173"/>
      <c r="L200" s="175"/>
      <c r="M200" s="175"/>
    </row>
    <row r="201" spans="1:13" ht="15" customHeight="1" x14ac:dyDescent="0.3">
      <c r="A201" s="163">
        <v>2</v>
      </c>
      <c r="B201" s="444" t="str">
        <f>B72</f>
        <v>SUBTOTAL TRANSPORTES</v>
      </c>
      <c r="C201" s="445"/>
      <c r="D201" s="445"/>
      <c r="E201" s="445"/>
      <c r="F201" s="445"/>
      <c r="G201" s="445"/>
      <c r="H201" s="445"/>
      <c r="I201" s="446"/>
      <c r="J201" s="77">
        <f>$J$72</f>
        <v>267330.44</v>
      </c>
      <c r="L201" s="132"/>
      <c r="M201" s="132"/>
    </row>
    <row r="202" spans="1:13" ht="15" customHeight="1" x14ac:dyDescent="0.3">
      <c r="A202" s="163">
        <v>3</v>
      </c>
      <c r="B202" s="444" t="str">
        <f>B85</f>
        <v>SUBTOTAL MÃO DE OBRA</v>
      </c>
      <c r="C202" s="445"/>
      <c r="D202" s="445"/>
      <c r="E202" s="445"/>
      <c r="F202" s="445"/>
      <c r="G202" s="445"/>
      <c r="H202" s="445"/>
      <c r="I202" s="446"/>
      <c r="J202" s="77">
        <f>$J$85</f>
        <v>724729.21349071979</v>
      </c>
      <c r="L202" s="501"/>
      <c r="M202" s="501"/>
    </row>
    <row r="203" spans="1:13" ht="15" customHeight="1" x14ac:dyDescent="0.3">
      <c r="A203" s="163">
        <v>4</v>
      </c>
      <c r="B203" s="444" t="str">
        <f>B94</f>
        <v>SUBTOTAL ALIMENTAÇÃO E HOSPEDAGEM</v>
      </c>
      <c r="C203" s="445"/>
      <c r="D203" s="445"/>
      <c r="E203" s="445"/>
      <c r="F203" s="445"/>
      <c r="G203" s="445"/>
      <c r="H203" s="445"/>
      <c r="I203" s="446"/>
      <c r="J203" s="77">
        <f>$J$94</f>
        <v>283100</v>
      </c>
      <c r="L203" s="176"/>
      <c r="M203" s="176"/>
    </row>
    <row r="204" spans="1:13" ht="15" customHeight="1" x14ac:dyDescent="0.3">
      <c r="A204" s="163">
        <v>5</v>
      </c>
      <c r="B204" s="444" t="str">
        <f>B106</f>
        <v>SUBTOTAL DEPRECIAÇÃO FERRAMENTAS</v>
      </c>
      <c r="C204" s="445"/>
      <c r="D204" s="445"/>
      <c r="E204" s="445"/>
      <c r="F204" s="445"/>
      <c r="G204" s="445"/>
      <c r="H204" s="445"/>
      <c r="I204" s="446"/>
      <c r="J204" s="77">
        <f>J106</f>
        <v>185426.14833333332</v>
      </c>
      <c r="L204" s="176"/>
      <c r="M204" s="176"/>
    </row>
    <row r="205" spans="1:13" ht="15" customHeight="1" x14ac:dyDescent="0.3">
      <c r="A205" s="163">
        <v>6</v>
      </c>
      <c r="B205" s="444" t="str">
        <f>B115</f>
        <v>SUBTOTAL DEPRECIAÇÃO EQUIPAMENTOS</v>
      </c>
      <c r="C205" s="445"/>
      <c r="D205" s="445"/>
      <c r="E205" s="445"/>
      <c r="F205" s="445"/>
      <c r="G205" s="445"/>
      <c r="H205" s="445"/>
      <c r="I205" s="446"/>
      <c r="J205" s="77">
        <f>$J$115</f>
        <v>62580.46232876712</v>
      </c>
      <c r="L205" s="177"/>
      <c r="M205" s="177"/>
    </row>
    <row r="206" spans="1:13" s="7" customFormat="1" ht="15" customHeight="1" x14ac:dyDescent="0.25">
      <c r="A206" s="163">
        <v>7</v>
      </c>
      <c r="B206" s="444" t="str">
        <f>B129</f>
        <v>SUBTOTAL COMBUSTÍVEIS</v>
      </c>
      <c r="C206" s="445"/>
      <c r="D206" s="445"/>
      <c r="E206" s="445"/>
      <c r="F206" s="445"/>
      <c r="G206" s="445"/>
      <c r="H206" s="445"/>
      <c r="I206" s="446"/>
      <c r="J206" s="77">
        <f>$J$129</f>
        <v>405126.15040000004</v>
      </c>
      <c r="K206" s="32"/>
      <c r="L206" s="178"/>
      <c r="M206" s="178"/>
    </row>
    <row r="207" spans="1:13" s="7" customFormat="1" ht="15" customHeight="1" x14ac:dyDescent="0.25">
      <c r="A207" s="163">
        <v>8</v>
      </c>
      <c r="B207" s="444" t="str">
        <f>B151</f>
        <v>SUBTOTAL MATERIAIS DE CONSUMO</v>
      </c>
      <c r="C207" s="445"/>
      <c r="D207" s="445"/>
      <c r="E207" s="445"/>
      <c r="F207" s="445"/>
      <c r="G207" s="445"/>
      <c r="H207" s="445"/>
      <c r="I207" s="446"/>
      <c r="J207" s="77">
        <f>$J$151</f>
        <v>297271.24797999999</v>
      </c>
      <c r="K207" s="32"/>
      <c r="L207" s="178"/>
      <c r="M207" s="178"/>
    </row>
    <row r="208" spans="1:13" s="7" customFormat="1" ht="15" customHeight="1" x14ac:dyDescent="0.25">
      <c r="A208" s="163">
        <v>9</v>
      </c>
      <c r="B208" s="444" t="str">
        <f>B164</f>
        <v xml:space="preserve">SUBTOTAL MATERIAIS APLICÁVEIS POÇO </v>
      </c>
      <c r="C208" s="445"/>
      <c r="D208" s="445"/>
      <c r="E208" s="445"/>
      <c r="F208" s="445"/>
      <c r="G208" s="445"/>
      <c r="H208" s="445"/>
      <c r="I208" s="446"/>
      <c r="J208" s="77">
        <f>$J$164</f>
        <v>966037.53800000006</v>
      </c>
      <c r="K208" s="30"/>
      <c r="L208" s="179"/>
      <c r="M208" s="180"/>
    </row>
    <row r="209" spans="1:14" s="7" customFormat="1" ht="15" customHeight="1" x14ac:dyDescent="0.25">
      <c r="A209" s="163">
        <v>10</v>
      </c>
      <c r="B209" s="444" t="str">
        <f>B198</f>
        <v>SUBTOTAL SERVIÇOS TERCEIRIZADOS</v>
      </c>
      <c r="C209" s="445"/>
      <c r="D209" s="445"/>
      <c r="E209" s="445"/>
      <c r="F209" s="445"/>
      <c r="G209" s="445"/>
      <c r="H209" s="445"/>
      <c r="I209" s="446"/>
      <c r="J209" s="77">
        <f>$J$198</f>
        <v>340670</v>
      </c>
      <c r="K209" s="30"/>
      <c r="L209" s="179"/>
      <c r="M209" s="179"/>
    </row>
    <row r="210" spans="1:14" s="7" customFormat="1" ht="15" customHeight="1" x14ac:dyDescent="0.4">
      <c r="A210" s="163">
        <v>11</v>
      </c>
      <c r="B210" s="444" t="s">
        <v>186</v>
      </c>
      <c r="C210" s="445"/>
      <c r="D210" s="445"/>
      <c r="E210" s="445"/>
      <c r="F210" s="446"/>
      <c r="G210" s="193">
        <f>Resumo!J15</f>
        <v>0.15</v>
      </c>
      <c r="H210" s="41"/>
      <c r="I210" s="257" t="s">
        <v>324</v>
      </c>
      <c r="J210" s="367">
        <f>SUM(J201:J209)*G210</f>
        <v>529840.68007992301</v>
      </c>
      <c r="K210" s="30"/>
      <c r="L210" s="181"/>
      <c r="M210" s="147" t="s">
        <v>391</v>
      </c>
    </row>
    <row r="211" spans="1:14" s="7" customFormat="1" ht="15" customHeight="1" thickBot="1" x14ac:dyDescent="0.35">
      <c r="A211" s="159" t="s">
        <v>141</v>
      </c>
      <c r="B211" s="447" t="s">
        <v>141</v>
      </c>
      <c r="C211" s="447"/>
      <c r="D211" s="447"/>
      <c r="E211" s="447"/>
      <c r="F211" s="447"/>
      <c r="G211" s="447"/>
      <c r="H211" s="447"/>
      <c r="I211" s="448"/>
      <c r="J211" s="158">
        <f>SUM(J201:J210)-I215</f>
        <v>4062111.8806127436</v>
      </c>
      <c r="K211" s="25"/>
      <c r="L211" s="182"/>
      <c r="M211" s="183"/>
    </row>
    <row r="212" spans="1:14" s="3" customFormat="1" ht="15" customHeight="1" thickBot="1" x14ac:dyDescent="0.35">
      <c r="A212" s="36"/>
      <c r="B212" s="43"/>
      <c r="C212" s="43"/>
      <c r="D212" s="43"/>
      <c r="E212" s="43"/>
      <c r="F212" s="43"/>
      <c r="G212" s="43"/>
      <c r="H212" s="43"/>
      <c r="I212" s="43"/>
      <c r="J212" s="43"/>
      <c r="K212" s="26"/>
      <c r="L212" s="184"/>
      <c r="M212" s="185"/>
    </row>
    <row r="213" spans="1:14" s="8" customFormat="1" ht="15" customHeight="1" thickTop="1" thickBot="1" x14ac:dyDescent="0.3">
      <c r="A213" s="238" t="s">
        <v>23</v>
      </c>
      <c r="B213" s="493" t="s">
        <v>187</v>
      </c>
      <c r="C213" s="494"/>
      <c r="D213" s="494"/>
      <c r="E213" s="494"/>
      <c r="F213" s="494"/>
      <c r="G213" s="494"/>
      <c r="H213" s="494"/>
      <c r="I213" s="494"/>
      <c r="J213" s="494"/>
      <c r="K213" s="33"/>
      <c r="L213" s="184"/>
      <c r="M213" s="185"/>
    </row>
    <row r="214" spans="1:14" s="7" customFormat="1" ht="15" customHeight="1" thickTop="1" thickBot="1" x14ac:dyDescent="0.3">
      <c r="A214" s="281">
        <v>1</v>
      </c>
      <c r="B214" s="495" t="s">
        <v>188</v>
      </c>
      <c r="C214" s="496"/>
      <c r="D214" s="496"/>
      <c r="E214" s="496"/>
      <c r="F214" s="496"/>
      <c r="G214" s="438"/>
      <c r="H214" s="194">
        <f>Resumo!C15</f>
        <v>1.875</v>
      </c>
      <c r="I214" s="379" t="s">
        <v>526</v>
      </c>
      <c r="J214" s="195" t="s">
        <v>389</v>
      </c>
      <c r="K214" s="30"/>
      <c r="L214" s="184"/>
      <c r="M214" s="185"/>
      <c r="N214" s="8"/>
    </row>
    <row r="215" spans="1:14" s="8" customFormat="1" ht="15" customHeight="1" thickTop="1" thickBot="1" x14ac:dyDescent="0.3">
      <c r="A215" s="281">
        <v>2</v>
      </c>
      <c r="B215" s="495" t="s">
        <v>190</v>
      </c>
      <c r="C215" s="496"/>
      <c r="D215" s="496"/>
      <c r="E215" s="496"/>
      <c r="F215" s="496"/>
      <c r="G215" s="438"/>
      <c r="H215" s="431">
        <f>J211*H214*(1-J218)</f>
        <v>6359743.9130843263</v>
      </c>
      <c r="I215" s="380">
        <f>SUM(J155:J159,J59,J60)*Resumo!S8</f>
        <v>0</v>
      </c>
      <c r="J215" s="356">
        <f>H215+I215</f>
        <v>6359743.9130843263</v>
      </c>
      <c r="K215" s="32"/>
      <c r="L215" s="184"/>
      <c r="M215" s="235" t="s">
        <v>422</v>
      </c>
      <c r="N215" s="9"/>
    </row>
    <row r="216" spans="1:14" s="7" customFormat="1" ht="15" customHeight="1" thickTop="1" thickBot="1" x14ac:dyDescent="0.3">
      <c r="A216" s="281">
        <v>3</v>
      </c>
      <c r="B216" s="499" t="s">
        <v>191</v>
      </c>
      <c r="C216" s="500"/>
      <c r="D216" s="500"/>
      <c r="E216" s="500"/>
      <c r="F216" s="500"/>
      <c r="G216" s="196">
        <v>3.6499999999999998E-2</v>
      </c>
      <c r="H216" s="197">
        <f>$H215*G216</f>
        <v>232130.6528275779</v>
      </c>
      <c r="I216" s="308"/>
      <c r="J216" s="204"/>
      <c r="K216" s="30"/>
      <c r="L216" s="184"/>
      <c r="M216" s="185"/>
    </row>
    <row r="217" spans="1:14" s="7" customFormat="1" ht="15" customHeight="1" thickTop="1" thickBot="1" x14ac:dyDescent="0.3">
      <c r="A217" s="281">
        <v>4</v>
      </c>
      <c r="B217" s="499" t="s">
        <v>192</v>
      </c>
      <c r="C217" s="500"/>
      <c r="D217" s="500"/>
      <c r="E217" s="500"/>
      <c r="F217" s="500"/>
      <c r="G217" s="196">
        <v>0</v>
      </c>
      <c r="H217" s="197">
        <f>H215*G217</f>
        <v>0</v>
      </c>
      <c r="I217" s="202"/>
      <c r="J217" s="203"/>
      <c r="K217" s="30"/>
      <c r="L217" s="184"/>
      <c r="M217" s="185"/>
    </row>
    <row r="218" spans="1:14" s="7" customFormat="1" ht="15" customHeight="1" thickTop="1" thickBot="1" x14ac:dyDescent="0.3">
      <c r="A218" s="281">
        <v>5</v>
      </c>
      <c r="B218" s="499" t="s">
        <v>193</v>
      </c>
      <c r="C218" s="500"/>
      <c r="D218" s="500"/>
      <c r="E218" s="500"/>
      <c r="F218" s="500"/>
      <c r="G218" s="287">
        <f>Resumo!R23</f>
        <v>0.02</v>
      </c>
      <c r="H218" s="197">
        <f>$H215*G218</f>
        <v>127194.87826168654</v>
      </c>
      <c r="I218" s="220" t="s">
        <v>194</v>
      </c>
      <c r="J218" s="256">
        <f>Resumo!E15</f>
        <v>0.16500000000000001</v>
      </c>
      <c r="K218" s="30"/>
      <c r="L218" s="182"/>
      <c r="M218" s="128" t="s">
        <v>406</v>
      </c>
    </row>
    <row r="219" spans="1:14" s="7" customFormat="1" ht="15" customHeight="1" thickTop="1" thickBot="1" x14ac:dyDescent="0.35">
      <c r="A219" s="281">
        <v>6</v>
      </c>
      <c r="B219" s="438" t="s">
        <v>386</v>
      </c>
      <c r="C219" s="439"/>
      <c r="D219" s="439"/>
      <c r="E219" s="439"/>
      <c r="F219" s="439"/>
      <c r="G219" s="439"/>
      <c r="H219" s="198">
        <f xml:space="preserve"> H215-(SUM(H216:H218))</f>
        <v>6000418.3819950614</v>
      </c>
      <c r="I219" s="199" t="s">
        <v>201</v>
      </c>
      <c r="J219" s="355">
        <f>$J$215/$G$7</f>
        <v>7310.0504748095709</v>
      </c>
      <c r="K219" s="30"/>
      <c r="L219" s="121"/>
      <c r="M219" s="121"/>
    </row>
    <row r="220" spans="1:14" s="7" customFormat="1" ht="15" customHeight="1" thickTop="1" thickBot="1" x14ac:dyDescent="0.3">
      <c r="A220" s="281">
        <v>7</v>
      </c>
      <c r="B220" s="499" t="s">
        <v>195</v>
      </c>
      <c r="C220" s="500"/>
      <c r="D220" s="500"/>
      <c r="E220" s="500"/>
      <c r="F220" s="500"/>
      <c r="G220" s="287">
        <v>0</v>
      </c>
      <c r="H220" s="197">
        <f>$H215*G220</f>
        <v>0</v>
      </c>
      <c r="I220" s="186"/>
      <c r="J220" s="186"/>
      <c r="K220" s="30"/>
      <c r="L220" s="190"/>
      <c r="M220" s="128" t="s">
        <v>390</v>
      </c>
    </row>
    <row r="221" spans="1:14" s="8" customFormat="1" ht="15" customHeight="1" thickTop="1" thickBot="1" x14ac:dyDescent="0.3">
      <c r="A221" s="281">
        <v>8</v>
      </c>
      <c r="B221" s="438" t="s">
        <v>196</v>
      </c>
      <c r="C221" s="439"/>
      <c r="D221" s="439"/>
      <c r="E221" s="439"/>
      <c r="F221" s="439"/>
      <c r="G221" s="439"/>
      <c r="H221" s="195">
        <f>SUM(H220)+J211</f>
        <v>4062111.8806127436</v>
      </c>
      <c r="I221" s="498"/>
      <c r="J221" s="187"/>
      <c r="K221" s="33"/>
      <c r="L221" s="176"/>
      <c r="M221" s="176"/>
    </row>
    <row r="222" spans="1:14" s="7" customFormat="1" ht="15" customHeight="1" thickTop="1" thickBot="1" x14ac:dyDescent="0.3">
      <c r="A222" s="281">
        <v>9</v>
      </c>
      <c r="B222" s="438" t="s">
        <v>197</v>
      </c>
      <c r="C222" s="439"/>
      <c r="D222" s="439"/>
      <c r="E222" s="439"/>
      <c r="F222" s="439"/>
      <c r="G222" s="200">
        <f>H222/H219</f>
        <v>0.32302855867491292</v>
      </c>
      <c r="H222" s="198">
        <f>H219-H221</f>
        <v>1938306.5013823179</v>
      </c>
      <c r="I222" s="498"/>
      <c r="J222" s="187"/>
      <c r="K222" s="25"/>
      <c r="L222" s="177"/>
      <c r="M222" s="177"/>
    </row>
    <row r="223" spans="1:14" ht="15" customHeight="1" thickTop="1" thickBot="1" x14ac:dyDescent="0.35">
      <c r="A223" s="281">
        <v>10</v>
      </c>
      <c r="B223" s="499" t="s">
        <v>198</v>
      </c>
      <c r="C223" s="500"/>
      <c r="D223" s="500"/>
      <c r="E223" s="500"/>
      <c r="F223" s="500"/>
      <c r="G223" s="287">
        <v>0.15</v>
      </c>
      <c r="H223" s="197">
        <f>$H219*G223</f>
        <v>900062.75729925919</v>
      </c>
      <c r="I223" s="498"/>
      <c r="J223" s="186"/>
      <c r="L223" s="178"/>
      <c r="M223" s="178"/>
    </row>
    <row r="224" spans="1:14" ht="15" customHeight="1" thickTop="1" thickBot="1" x14ac:dyDescent="0.35">
      <c r="A224" s="281">
        <v>11</v>
      </c>
      <c r="B224" s="499" t="s">
        <v>199</v>
      </c>
      <c r="C224" s="500"/>
      <c r="D224" s="500"/>
      <c r="E224" s="500"/>
      <c r="F224" s="500"/>
      <c r="G224" s="201">
        <f>H224/H219</f>
        <v>0.17302855867491293</v>
      </c>
      <c r="H224" s="198">
        <f>H222-H223</f>
        <v>1038243.7440830587</v>
      </c>
      <c r="I224" s="187"/>
      <c r="J224" s="187"/>
      <c r="L224" s="179"/>
      <c r="M224" s="180"/>
    </row>
    <row r="225" spans="1:16" ht="15" customHeight="1" thickTop="1" thickBot="1" x14ac:dyDescent="0.35">
      <c r="A225" s="281">
        <v>12</v>
      </c>
      <c r="B225" s="499" t="s">
        <v>252</v>
      </c>
      <c r="C225" s="500"/>
      <c r="D225" s="500"/>
      <c r="E225" s="500"/>
      <c r="F225" s="500"/>
      <c r="G225" s="354">
        <v>0</v>
      </c>
      <c r="H225" s="197">
        <f>$H224*G225</f>
        <v>0</v>
      </c>
      <c r="I225" s="188"/>
      <c r="J225" s="189"/>
      <c r="L225" s="179"/>
      <c r="M225" s="179"/>
    </row>
    <row r="226" spans="1:16" ht="15" customHeight="1" thickTop="1" thickBot="1" x14ac:dyDescent="0.35">
      <c r="A226" s="281">
        <v>13</v>
      </c>
      <c r="B226" s="499" t="s">
        <v>253</v>
      </c>
      <c r="C226" s="500"/>
      <c r="D226" s="500"/>
      <c r="E226" s="500"/>
      <c r="F226" s="500"/>
      <c r="G226" s="354">
        <v>0</v>
      </c>
      <c r="H226" s="197">
        <f>$H224*G226</f>
        <v>0</v>
      </c>
      <c r="I226" s="188"/>
      <c r="J226" s="186"/>
      <c r="L226" s="178"/>
      <c r="M226" s="178"/>
    </row>
    <row r="227" spans="1:16" ht="15" customHeight="1" thickTop="1" thickBot="1" x14ac:dyDescent="0.35">
      <c r="A227" s="281">
        <v>14</v>
      </c>
      <c r="B227" s="499" t="s">
        <v>203</v>
      </c>
      <c r="C227" s="500"/>
      <c r="D227" s="500"/>
      <c r="E227" s="500"/>
      <c r="F227" s="500"/>
      <c r="G227" s="354">
        <v>0</v>
      </c>
      <c r="H227" s="197">
        <f>$H215*G227</f>
        <v>0</v>
      </c>
      <c r="I227" s="186"/>
      <c r="J227" s="186"/>
      <c r="L227" s="181"/>
      <c r="M227" s="288" t="s">
        <v>451</v>
      </c>
    </row>
    <row r="228" spans="1:16" ht="15" customHeight="1" thickTop="1" thickBot="1" x14ac:dyDescent="0.35">
      <c r="A228" s="281">
        <v>15</v>
      </c>
      <c r="B228" s="438" t="s">
        <v>204</v>
      </c>
      <c r="C228" s="439"/>
      <c r="D228" s="439"/>
      <c r="E228" s="439"/>
      <c r="F228" s="439"/>
      <c r="G228" s="439"/>
      <c r="H228" s="198">
        <f>H224-SUM(H225:H227)</f>
        <v>1038243.7440830587</v>
      </c>
      <c r="I228" s="187"/>
      <c r="J228" s="187"/>
      <c r="L228" s="182"/>
      <c r="M228" s="183"/>
    </row>
    <row r="229" spans="1:16" ht="15" customHeight="1" thickTop="1" thickBot="1" x14ac:dyDescent="0.35">
      <c r="A229" s="238"/>
      <c r="B229" s="440" t="s">
        <v>205</v>
      </c>
      <c r="C229" s="441"/>
      <c r="D229" s="441"/>
      <c r="E229" s="441"/>
      <c r="F229" s="441"/>
      <c r="G229" s="441"/>
      <c r="H229" s="237">
        <f>H228/H219</f>
        <v>0.17302855867491293</v>
      </c>
      <c r="I229" s="187"/>
      <c r="J229" s="187"/>
      <c r="L229" s="184"/>
      <c r="M229" s="185"/>
    </row>
    <row r="230" spans="1:16" s="3" customFormat="1" ht="16.5" customHeight="1" thickTop="1" x14ac:dyDescent="0.3">
      <c r="A230" s="20"/>
      <c r="B230" s="34"/>
      <c r="C230" s="34"/>
      <c r="D230" s="34"/>
      <c r="E230" s="34"/>
      <c r="F230" s="34"/>
      <c r="G230" s="34"/>
      <c r="H230" s="34"/>
      <c r="I230" s="34"/>
      <c r="J230" s="34"/>
      <c r="K230" s="26"/>
      <c r="L230" s="20"/>
      <c r="M230" s="20"/>
      <c r="O230" s="497"/>
      <c r="P230" s="497"/>
    </row>
  </sheetData>
  <mergeCells count="198">
    <mergeCell ref="C2:G2"/>
    <mergeCell ref="C3:G3"/>
    <mergeCell ref="C4:G4"/>
    <mergeCell ref="B25:H25"/>
    <mergeCell ref="B30:H30"/>
    <mergeCell ref="B28:H28"/>
    <mergeCell ref="B27:H27"/>
    <mergeCell ref="B36:D36"/>
    <mergeCell ref="B33:D33"/>
    <mergeCell ref="B22:H22"/>
    <mergeCell ref="E35:F35"/>
    <mergeCell ref="B31:H31"/>
    <mergeCell ref="B32:D32"/>
    <mergeCell ref="B34:D34"/>
    <mergeCell ref="E34:F34"/>
    <mergeCell ref="F45:G45"/>
    <mergeCell ref="F46:G46"/>
    <mergeCell ref="B66:C66"/>
    <mergeCell ref="B67:C67"/>
    <mergeCell ref="B68:C68"/>
    <mergeCell ref="B38:D38"/>
    <mergeCell ref="F52:G52"/>
    <mergeCell ref="E36:F36"/>
    <mergeCell ref="E37:F37"/>
    <mergeCell ref="B37:D37"/>
    <mergeCell ref="B63:C63"/>
    <mergeCell ref="B40:H40"/>
    <mergeCell ref="B42:H42"/>
    <mergeCell ref="B39:H39"/>
    <mergeCell ref="F47:G47"/>
    <mergeCell ref="F48:G48"/>
    <mergeCell ref="F49:G49"/>
    <mergeCell ref="F50:G50"/>
    <mergeCell ref="F51:G51"/>
    <mergeCell ref="F54:G54"/>
    <mergeCell ref="F57:G57"/>
    <mergeCell ref="F53:G53"/>
    <mergeCell ref="F55:G55"/>
    <mergeCell ref="F56:G56"/>
    <mergeCell ref="I6:J6"/>
    <mergeCell ref="I17:J17"/>
    <mergeCell ref="B15:H15"/>
    <mergeCell ref="B16:H16"/>
    <mergeCell ref="D6:E6"/>
    <mergeCell ref="A6:B6"/>
    <mergeCell ref="D11:E11"/>
    <mergeCell ref="A17:B17"/>
    <mergeCell ref="A13:J13"/>
    <mergeCell ref="B14:H14"/>
    <mergeCell ref="D7:E7"/>
    <mergeCell ref="D8:E8"/>
    <mergeCell ref="D9:E9"/>
    <mergeCell ref="B96:J96"/>
    <mergeCell ref="B94:I94"/>
    <mergeCell ref="B118:C118"/>
    <mergeCell ref="B106:I106"/>
    <mergeCell ref="A107:J107"/>
    <mergeCell ref="B108:J108"/>
    <mergeCell ref="B131:J131"/>
    <mergeCell ref="B138:C138"/>
    <mergeCell ref="B142:F142"/>
    <mergeCell ref="B88:C88"/>
    <mergeCell ref="F90:G90"/>
    <mergeCell ref="H92:I92"/>
    <mergeCell ref="H89:I89"/>
    <mergeCell ref="B83:E83"/>
    <mergeCell ref="B84:E84"/>
    <mergeCell ref="F92:G92"/>
    <mergeCell ref="B89:C89"/>
    <mergeCell ref="B64:C64"/>
    <mergeCell ref="B76:E76"/>
    <mergeCell ref="B77:E77"/>
    <mergeCell ref="B70:C70"/>
    <mergeCell ref="B71:C71"/>
    <mergeCell ref="B72:I72"/>
    <mergeCell ref="B74:J74"/>
    <mergeCell ref="B65:C65"/>
    <mergeCell ref="B69:C69"/>
    <mergeCell ref="B90:C90"/>
    <mergeCell ref="B87:J87"/>
    <mergeCell ref="B85:I85"/>
    <mergeCell ref="O230:P230"/>
    <mergeCell ref="B192:F192"/>
    <mergeCell ref="I221:I223"/>
    <mergeCell ref="B219:G219"/>
    <mergeCell ref="B224:F224"/>
    <mergeCell ref="B222:F222"/>
    <mergeCell ref="B223:F223"/>
    <mergeCell ref="B220:F220"/>
    <mergeCell ref="B221:G221"/>
    <mergeCell ref="B215:G215"/>
    <mergeCell ref="B216:F216"/>
    <mergeCell ref="B218:F218"/>
    <mergeCell ref="B210:F210"/>
    <mergeCell ref="B207:I207"/>
    <mergeCell ref="B208:I208"/>
    <mergeCell ref="B198:I198"/>
    <mergeCell ref="B201:I201"/>
    <mergeCell ref="B197:F197"/>
    <mergeCell ref="L202:M202"/>
    <mergeCell ref="B217:F217"/>
    <mergeCell ref="B202:I202"/>
    <mergeCell ref="B226:F226"/>
    <mergeCell ref="B227:F227"/>
    <mergeCell ref="B225:F225"/>
    <mergeCell ref="B185:F185"/>
    <mergeCell ref="B213:J213"/>
    <mergeCell ref="B214:G214"/>
    <mergeCell ref="B205:I205"/>
    <mergeCell ref="B193:F193"/>
    <mergeCell ref="B194:F194"/>
    <mergeCell ref="B195:F195"/>
    <mergeCell ref="B204:I204"/>
    <mergeCell ref="B169:F169"/>
    <mergeCell ref="B173:F173"/>
    <mergeCell ref="B176:F176"/>
    <mergeCell ref="B177:F177"/>
    <mergeCell ref="B190:F190"/>
    <mergeCell ref="B186:F186"/>
    <mergeCell ref="B191:F191"/>
    <mergeCell ref="B188:F188"/>
    <mergeCell ref="B170:F170"/>
    <mergeCell ref="B182:F182"/>
    <mergeCell ref="B187:F187"/>
    <mergeCell ref="B189:F189"/>
    <mergeCell ref="B181:F181"/>
    <mergeCell ref="B178:F178"/>
    <mergeCell ref="B44:F44"/>
    <mergeCell ref="E38:F38"/>
    <mergeCell ref="B35:D35"/>
    <mergeCell ref="B119:D119"/>
    <mergeCell ref="B115:I115"/>
    <mergeCell ref="B122:C122"/>
    <mergeCell ref="B91:E91"/>
    <mergeCell ref="B75:E75"/>
    <mergeCell ref="B117:J117"/>
    <mergeCell ref="B93:E93"/>
    <mergeCell ref="F93:G93"/>
    <mergeCell ref="B78:E78"/>
    <mergeCell ref="H93:I93"/>
    <mergeCell ref="F91:G91"/>
    <mergeCell ref="B79:E79"/>
    <mergeCell ref="B80:E80"/>
    <mergeCell ref="B81:E81"/>
    <mergeCell ref="B82:E82"/>
    <mergeCell ref="F88:G88"/>
    <mergeCell ref="H90:I90"/>
    <mergeCell ref="B92:E92"/>
    <mergeCell ref="F89:G89"/>
    <mergeCell ref="H88:I88"/>
    <mergeCell ref="H91:I91"/>
    <mergeCell ref="B167:F167"/>
    <mergeCell ref="B157:D157"/>
    <mergeCell ref="B155:D155"/>
    <mergeCell ref="B159:D159"/>
    <mergeCell ref="B154:D154"/>
    <mergeCell ref="B123:C123"/>
    <mergeCell ref="B124:D124"/>
    <mergeCell ref="B125:C125"/>
    <mergeCell ref="B121:D121"/>
    <mergeCell ref="B144:F144"/>
    <mergeCell ref="B139:F139"/>
    <mergeCell ref="B147:F147"/>
    <mergeCell ref="B132:C132"/>
    <mergeCell ref="B158:D158"/>
    <mergeCell ref="B134:C134"/>
    <mergeCell ref="B141:C141"/>
    <mergeCell ref="B146:F146"/>
    <mergeCell ref="B129:I129"/>
    <mergeCell ref="B151:I151"/>
    <mergeCell ref="B156:D156"/>
    <mergeCell ref="B126:C126"/>
    <mergeCell ref="B128:D128"/>
    <mergeCell ref="B150:F150"/>
    <mergeCell ref="B228:G228"/>
    <mergeCell ref="B229:G229"/>
    <mergeCell ref="B127:C127"/>
    <mergeCell ref="B196:F196"/>
    <mergeCell ref="B209:I209"/>
    <mergeCell ref="B203:I203"/>
    <mergeCell ref="B206:I206"/>
    <mergeCell ref="B211:I211"/>
    <mergeCell ref="B183:F183"/>
    <mergeCell ref="B172:F172"/>
    <mergeCell ref="B174:F174"/>
    <mergeCell ref="B175:F175"/>
    <mergeCell ref="B184:F184"/>
    <mergeCell ref="B179:F179"/>
    <mergeCell ref="B180:F180"/>
    <mergeCell ref="B171:F171"/>
    <mergeCell ref="B166:J166"/>
    <mergeCell ref="B162:F162"/>
    <mergeCell ref="B133:C133"/>
    <mergeCell ref="B161:F161"/>
    <mergeCell ref="B153:J153"/>
    <mergeCell ref="B168:F168"/>
    <mergeCell ref="B164:I164"/>
    <mergeCell ref="B163:F163"/>
  </mergeCells>
  <phoneticPr fontId="12" type="noConversion"/>
  <conditionalFormatting sqref="A17:B17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hyperlinks>
    <hyperlink ref="M50" r:id="rId1" location="/" display="https://qualp.com.br/ - /" xr:uid="{6ED30DD6-FD4D-41D3-93D8-B9C2D9D24300}"/>
  </hyperlinks>
  <printOptions gridLines="1"/>
  <pageMargins left="0.14907407407407408" right="0.35" top="1.0075925925925926" bottom="0.98425196850393704" header="0.51181102362204722" footer="0.51181102362204722"/>
  <pageSetup paperSize="9" scale="21" orientation="portrait" r:id="rId2"/>
  <headerFooter alignWithMargins="0"/>
  <rowBreaks count="2" manualBreakCount="2">
    <brk id="198" max="12" man="1"/>
    <brk id="212" max="12" man="1"/>
  </rowBreaks>
  <colBreaks count="1" manualBreakCount="1">
    <brk id="10" max="249" man="1"/>
  </col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3CB5-42DE-4B11-96A6-93A20A128266}">
  <dimension ref="A1:G25"/>
  <sheetViews>
    <sheetView topLeftCell="A12" zoomScale="90" zoomScaleNormal="90" workbookViewId="0">
      <selection activeCell="E25" sqref="E25"/>
    </sheetView>
  </sheetViews>
  <sheetFormatPr defaultColWidth="11.54296875" defaultRowHeight="15.5" x14ac:dyDescent="0.35"/>
  <cols>
    <col min="1" max="1" width="41.81640625" style="11" customWidth="1"/>
    <col min="2" max="2" width="16.90625" style="11" customWidth="1"/>
    <col min="3" max="3" width="23.81640625" style="11" customWidth="1"/>
    <col min="4" max="4" width="49" style="11" customWidth="1"/>
    <col min="5" max="5" width="18.1796875" style="11" customWidth="1"/>
    <col min="6" max="6" width="70.6328125" style="11" bestFit="1" customWidth="1"/>
    <col min="7" max="16384" width="11.54296875" style="10"/>
  </cols>
  <sheetData>
    <row r="1" spans="1:7" s="11" customFormat="1" x14ac:dyDescent="0.35"/>
    <row r="2" spans="1:7" s="11" customFormat="1" ht="20" x14ac:dyDescent="0.4">
      <c r="A2" s="15"/>
      <c r="B2" s="555" t="s">
        <v>515</v>
      </c>
      <c r="C2" s="555"/>
      <c r="D2" s="555"/>
      <c r="E2" s="555"/>
      <c r="F2" s="555"/>
      <c r="G2" s="12"/>
    </row>
    <row r="3" spans="1:7" s="11" customFormat="1" x14ac:dyDescent="0.35">
      <c r="A3" s="15"/>
      <c r="B3" s="556" t="s">
        <v>213</v>
      </c>
      <c r="C3" s="556"/>
      <c r="D3" s="556"/>
      <c r="E3" s="556"/>
      <c r="F3" s="556"/>
      <c r="G3" s="13"/>
    </row>
    <row r="4" spans="1:7" s="11" customFormat="1" x14ac:dyDescent="0.35">
      <c r="G4" s="12"/>
    </row>
    <row r="5" spans="1:7" s="11" customFormat="1" x14ac:dyDescent="0.35">
      <c r="G5" s="12"/>
    </row>
    <row r="6" spans="1:7" s="11" customFormat="1" x14ac:dyDescent="0.35">
      <c r="G6" s="12"/>
    </row>
    <row r="7" spans="1:7" s="11" customFormat="1" x14ac:dyDescent="0.35">
      <c r="A7" s="248" t="s">
        <v>222</v>
      </c>
      <c r="B7" s="557" t="str">
        <f>'Perfuração Cardwell'!$D$7</f>
        <v>SANEPAR</v>
      </c>
      <c r="C7" s="557"/>
      <c r="G7" s="12"/>
    </row>
    <row r="8" spans="1:7" s="11" customFormat="1" x14ac:dyDescent="0.35">
      <c r="A8" s="248" t="s">
        <v>223</v>
      </c>
      <c r="B8" s="558">
        <f>'Perfuração Cardwell'!$G$7</f>
        <v>870</v>
      </c>
      <c r="C8" s="558"/>
      <c r="G8" s="12"/>
    </row>
    <row r="9" spans="1:7" s="11" customFormat="1" x14ac:dyDescent="0.35">
      <c r="A9" s="248" t="s">
        <v>224</v>
      </c>
      <c r="B9" s="558">
        <f>'Perfuração Cardwell'!J9</f>
        <v>337</v>
      </c>
      <c r="C9" s="558"/>
      <c r="E9" s="11">
        <f>2200</f>
        <v>2200</v>
      </c>
      <c r="G9" s="12"/>
    </row>
    <row r="10" spans="1:7" s="11" customFormat="1" ht="16" thickBot="1" x14ac:dyDescent="0.4">
      <c r="G10" s="12"/>
    </row>
    <row r="11" spans="1:7" s="11" customFormat="1" x14ac:dyDescent="0.35">
      <c r="A11" s="258" t="s">
        <v>217</v>
      </c>
      <c r="B11" s="259" t="s">
        <v>110</v>
      </c>
      <c r="C11" s="259" t="s">
        <v>82</v>
      </c>
      <c r="D11" s="259" t="s">
        <v>32</v>
      </c>
      <c r="E11" s="267" t="s">
        <v>218</v>
      </c>
      <c r="F11" s="14" t="s">
        <v>229</v>
      </c>
      <c r="G11" s="12"/>
    </row>
    <row r="12" spans="1:7" s="11" customFormat="1" x14ac:dyDescent="0.35">
      <c r="A12" s="260" t="s">
        <v>206</v>
      </c>
      <c r="B12" s="205" t="s">
        <v>135</v>
      </c>
      <c r="C12" s="206">
        <v>18.5</v>
      </c>
      <c r="D12" s="207">
        <f>$B$8</f>
        <v>870</v>
      </c>
      <c r="E12" s="268">
        <f>$C$12*$D$12</f>
        <v>16095</v>
      </c>
      <c r="F12" s="272" t="s">
        <v>227</v>
      </c>
      <c r="G12" s="12"/>
    </row>
    <row r="13" spans="1:7" s="11" customFormat="1" x14ac:dyDescent="0.35">
      <c r="A13" s="261" t="s">
        <v>207</v>
      </c>
      <c r="B13" s="208" t="s">
        <v>208</v>
      </c>
      <c r="C13" s="209">
        <v>3.5</v>
      </c>
      <c r="D13" s="210">
        <f>$B$9*2</f>
        <v>674</v>
      </c>
      <c r="E13" s="269">
        <f>$C$13*$D$13</f>
        <v>2359</v>
      </c>
      <c r="F13" s="272" t="s">
        <v>226</v>
      </c>
      <c r="G13" s="12"/>
    </row>
    <row r="14" spans="1:7" s="11" customFormat="1" x14ac:dyDescent="0.35">
      <c r="A14" s="261" t="s">
        <v>209</v>
      </c>
      <c r="B14" s="208" t="s">
        <v>126</v>
      </c>
      <c r="C14" s="209">
        <v>650</v>
      </c>
      <c r="D14" s="210">
        <v>1</v>
      </c>
      <c r="E14" s="269">
        <f>$C$14*$D$14</f>
        <v>650</v>
      </c>
      <c r="F14" s="272" t="s">
        <v>228</v>
      </c>
      <c r="G14" s="12"/>
    </row>
    <row r="15" spans="1:7" s="11" customFormat="1" x14ac:dyDescent="0.35">
      <c r="A15" s="261" t="s">
        <v>210</v>
      </c>
      <c r="B15" s="208" t="s">
        <v>171</v>
      </c>
      <c r="C15" s="209">
        <v>1000</v>
      </c>
      <c r="D15" s="210">
        <v>1</v>
      </c>
      <c r="E15" s="269">
        <f>C15*D15</f>
        <v>1000</v>
      </c>
      <c r="F15" s="272"/>
      <c r="G15" s="12"/>
    </row>
    <row r="16" spans="1:7" s="11" customFormat="1" x14ac:dyDescent="0.35">
      <c r="A16" s="261" t="s">
        <v>210</v>
      </c>
      <c r="B16" s="208" t="s">
        <v>171</v>
      </c>
      <c r="C16" s="209">
        <v>2700</v>
      </c>
      <c r="D16" s="210">
        <v>1</v>
      </c>
      <c r="E16" s="269">
        <f>$C$16*$D$16</f>
        <v>2700</v>
      </c>
      <c r="F16" s="272" t="s">
        <v>453</v>
      </c>
      <c r="G16" s="12"/>
    </row>
    <row r="17" spans="1:7" s="11" customFormat="1" x14ac:dyDescent="0.35">
      <c r="A17" s="261" t="s">
        <v>214</v>
      </c>
      <c r="B17" s="208" t="s">
        <v>135</v>
      </c>
      <c r="C17" s="209">
        <v>18.5</v>
      </c>
      <c r="D17" s="210">
        <f>$B$8</f>
        <v>870</v>
      </c>
      <c r="E17" s="269">
        <f>$C$17*$D$17</f>
        <v>16095</v>
      </c>
      <c r="F17" s="272"/>
      <c r="G17" s="12"/>
    </row>
    <row r="18" spans="1:7" s="11" customFormat="1" x14ac:dyDescent="0.35">
      <c r="A18" s="261" t="s">
        <v>212</v>
      </c>
      <c r="B18" s="208" t="s">
        <v>135</v>
      </c>
      <c r="C18" s="209">
        <v>16</v>
      </c>
      <c r="D18" s="210">
        <f t="shared" ref="D18:D21" si="0">$B$8</f>
        <v>870</v>
      </c>
      <c r="E18" s="269">
        <f>$C$18*$D$18</f>
        <v>13920</v>
      </c>
      <c r="F18" s="272" t="s">
        <v>230</v>
      </c>
      <c r="G18" s="12"/>
    </row>
    <row r="19" spans="1:7" s="11" customFormat="1" x14ac:dyDescent="0.35">
      <c r="A19" s="261" t="s">
        <v>211</v>
      </c>
      <c r="B19" s="208" t="s">
        <v>135</v>
      </c>
      <c r="C19" s="209">
        <v>18.5</v>
      </c>
      <c r="D19" s="210">
        <f t="shared" si="0"/>
        <v>870</v>
      </c>
      <c r="E19" s="269">
        <f>$C$19*$D$19</f>
        <v>16095</v>
      </c>
      <c r="F19" s="272"/>
      <c r="G19" s="12"/>
    </row>
    <row r="20" spans="1:7" s="11" customFormat="1" x14ac:dyDescent="0.35">
      <c r="A20" s="262" t="s">
        <v>215</v>
      </c>
      <c r="B20" s="211" t="s">
        <v>135</v>
      </c>
      <c r="C20" s="212">
        <v>18.5</v>
      </c>
      <c r="D20" s="213">
        <f t="shared" si="0"/>
        <v>870</v>
      </c>
      <c r="E20" s="270">
        <f>$C$20*$D$20</f>
        <v>16095</v>
      </c>
      <c r="F20" s="272"/>
      <c r="G20" s="12"/>
    </row>
    <row r="21" spans="1:7" s="11" customFormat="1" x14ac:dyDescent="0.35">
      <c r="A21" s="262" t="s">
        <v>216</v>
      </c>
      <c r="B21" s="211" t="s">
        <v>135</v>
      </c>
      <c r="C21" s="212">
        <v>8</v>
      </c>
      <c r="D21" s="213">
        <f t="shared" si="0"/>
        <v>870</v>
      </c>
      <c r="E21" s="270">
        <f>$C$21*$D$21</f>
        <v>6960</v>
      </c>
      <c r="F21" s="272"/>
      <c r="G21" s="12"/>
    </row>
    <row r="22" spans="1:7" s="11" customFormat="1" ht="16" thickBot="1" x14ac:dyDescent="0.4">
      <c r="A22" s="263" t="s">
        <v>452</v>
      </c>
      <c r="B22" s="264" t="s">
        <v>135</v>
      </c>
      <c r="C22" s="265">
        <v>350</v>
      </c>
      <c r="D22" s="266">
        <f>$B$8/100</f>
        <v>8.6999999999999993</v>
      </c>
      <c r="E22" s="271">
        <f>$C$22*$D$22</f>
        <v>3044.9999999999995</v>
      </c>
      <c r="F22" s="272" t="s">
        <v>225</v>
      </c>
      <c r="G22" s="12"/>
    </row>
    <row r="23" spans="1:7" s="11" customFormat="1" x14ac:dyDescent="0.35">
      <c r="D23" s="282" t="s">
        <v>220</v>
      </c>
      <c r="E23" s="294">
        <f>SUM($E$12:$E$15)/$B$8</f>
        <v>23.108045977011493</v>
      </c>
      <c r="G23" s="12"/>
    </row>
    <row r="24" spans="1:7" s="11" customFormat="1" x14ac:dyDescent="0.35">
      <c r="D24" s="283" t="s">
        <v>219</v>
      </c>
      <c r="E24" s="300">
        <f>SUM($E$18,$E$21,$E$22,$E$16,$E$13)/$B$8</f>
        <v>33.314942528735635</v>
      </c>
      <c r="G24" s="12"/>
    </row>
    <row r="25" spans="1:7" s="11" customFormat="1" ht="16" thickBot="1" x14ac:dyDescent="0.4">
      <c r="D25" s="284" t="s">
        <v>221</v>
      </c>
      <c r="E25" s="301">
        <f>SUM($E$17,$E$19,$E$16,$E$13)/$B$8</f>
        <v>42.814942528735635</v>
      </c>
      <c r="G25" s="12"/>
    </row>
  </sheetData>
  <mergeCells count="5">
    <mergeCell ref="B2:F2"/>
    <mergeCell ref="B3:F3"/>
    <mergeCell ref="B7:C7"/>
    <mergeCell ref="B8:C8"/>
    <mergeCell ref="B9:C9"/>
  </mergeCells>
  <pageMargins left="0.7" right="0.7" top="0.75" bottom="0.75" header="0.3" footer="0.3"/>
  <pageSetup paperSize="9" scale="3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A38D-5D27-43DF-9E5E-6EE246CB0ABE}">
  <dimension ref="A1:F28"/>
  <sheetViews>
    <sheetView workbookViewId="0">
      <selection activeCell="I26" sqref="I26"/>
    </sheetView>
  </sheetViews>
  <sheetFormatPr defaultColWidth="8.81640625" defaultRowHeight="12.5" x14ac:dyDescent="0.25"/>
  <cols>
    <col min="1" max="1" width="8.81640625" style="378"/>
    <col min="2" max="2" width="15.453125" style="378" customWidth="1"/>
    <col min="3" max="3" width="47.90625" style="378" customWidth="1"/>
    <col min="4" max="4" width="21.453125" style="378" customWidth="1"/>
    <col min="5" max="5" width="20.1796875" style="378" customWidth="1"/>
    <col min="6" max="6" width="19" style="378" customWidth="1"/>
    <col min="7" max="16384" width="8.81640625" style="378"/>
  </cols>
  <sheetData>
    <row r="1" spans="1:6" ht="24.5" x14ac:dyDescent="0.35">
      <c r="A1" s="396"/>
      <c r="B1" s="397" t="s">
        <v>574</v>
      </c>
      <c r="C1" s="398"/>
      <c r="D1" s="572"/>
      <c r="E1" s="572"/>
      <c r="F1" s="572"/>
    </row>
    <row r="2" spans="1:6" ht="15.5" x14ac:dyDescent="0.35">
      <c r="A2" s="573"/>
      <c r="B2" s="573"/>
      <c r="C2" s="398"/>
      <c r="D2" s="572"/>
      <c r="E2" s="572"/>
      <c r="F2" s="572"/>
    </row>
    <row r="3" spans="1:6" ht="42.5" customHeight="1" x14ac:dyDescent="0.25">
      <c r="A3" s="399"/>
      <c r="B3" s="574" t="s">
        <v>575</v>
      </c>
      <c r="C3" s="574"/>
      <c r="D3" s="572"/>
      <c r="E3" s="572"/>
      <c r="F3" s="572"/>
    </row>
    <row r="4" spans="1:6" ht="13" x14ac:dyDescent="0.25">
      <c r="A4" s="400"/>
      <c r="B4" s="401" t="s">
        <v>576</v>
      </c>
      <c r="C4" s="402"/>
      <c r="D4" s="572"/>
      <c r="E4" s="572"/>
      <c r="F4" s="572"/>
    </row>
    <row r="5" spans="1:6" ht="13" x14ac:dyDescent="0.25">
      <c r="A5" s="400"/>
      <c r="B5" s="401" t="s">
        <v>577</v>
      </c>
      <c r="C5" s="402"/>
      <c r="D5" s="572"/>
      <c r="E5" s="572"/>
      <c r="F5" s="572"/>
    </row>
    <row r="6" spans="1:6" ht="13" x14ac:dyDescent="0.25">
      <c r="A6" s="400"/>
      <c r="B6" s="401" t="s">
        <v>578</v>
      </c>
      <c r="C6" s="402"/>
      <c r="D6" s="572"/>
      <c r="E6" s="572"/>
      <c r="F6" s="572"/>
    </row>
    <row r="7" spans="1:6" ht="14.5" x14ac:dyDescent="0.35">
      <c r="A7" s="569"/>
      <c r="B7" s="569"/>
      <c r="C7" s="404"/>
      <c r="D7" s="404"/>
      <c r="E7" s="404"/>
      <c r="F7" s="404"/>
    </row>
    <row r="8" spans="1:6" ht="30" customHeight="1" x14ac:dyDescent="0.3">
      <c r="A8" s="405"/>
      <c r="B8" s="406" t="s">
        <v>579</v>
      </c>
      <c r="C8" s="564" t="s">
        <v>580</v>
      </c>
      <c r="D8" s="565"/>
      <c r="E8" s="407" t="s">
        <v>581</v>
      </c>
      <c r="F8" s="408" t="s">
        <v>582</v>
      </c>
    </row>
    <row r="9" spans="1:6" ht="14.5" x14ac:dyDescent="0.35">
      <c r="A9" s="403"/>
      <c r="B9" s="406" t="s">
        <v>583</v>
      </c>
      <c r="C9" s="564"/>
      <c r="D9" s="565"/>
      <c r="E9" s="409"/>
      <c r="F9" s="410"/>
    </row>
    <row r="10" spans="1:6" ht="20" x14ac:dyDescent="0.35">
      <c r="A10" s="403"/>
      <c r="B10" s="411" t="s">
        <v>584</v>
      </c>
      <c r="C10" s="564"/>
      <c r="D10" s="565"/>
      <c r="E10" s="412" t="s">
        <v>585</v>
      </c>
      <c r="F10" s="412" t="s">
        <v>586</v>
      </c>
    </row>
    <row r="11" spans="1:6" ht="20.5" thickBot="1" x14ac:dyDescent="0.4">
      <c r="A11" s="403"/>
      <c r="B11" s="413" t="s">
        <v>587</v>
      </c>
      <c r="C11" s="566"/>
      <c r="D11" s="567"/>
      <c r="E11" s="567"/>
      <c r="F11" s="568"/>
    </row>
    <row r="12" spans="1:6" ht="14.5" x14ac:dyDescent="0.35">
      <c r="A12" s="569"/>
      <c r="B12" s="569"/>
      <c r="C12" s="404"/>
      <c r="D12" s="404"/>
      <c r="E12" s="404"/>
      <c r="F12" s="404"/>
    </row>
    <row r="13" spans="1:6" ht="13" x14ac:dyDescent="0.3">
      <c r="A13" s="405"/>
      <c r="B13" s="570" t="s">
        <v>588</v>
      </c>
      <c r="C13" s="571"/>
      <c r="D13" s="414" t="s">
        <v>589</v>
      </c>
      <c r="E13" s="414" t="s">
        <v>218</v>
      </c>
      <c r="F13" s="414" t="s">
        <v>141</v>
      </c>
    </row>
    <row r="14" spans="1:6" ht="27.5" customHeight="1" x14ac:dyDescent="0.35">
      <c r="A14" s="403"/>
      <c r="B14" s="562" t="s">
        <v>590</v>
      </c>
      <c r="C14" s="563"/>
      <c r="D14" s="409">
        <v>0</v>
      </c>
      <c r="E14" s="415" t="s">
        <v>591</v>
      </c>
      <c r="F14" s="416" t="s">
        <v>592</v>
      </c>
    </row>
    <row r="15" spans="1:6" ht="27.5" customHeight="1" x14ac:dyDescent="0.35">
      <c r="A15" s="403"/>
      <c r="B15" s="562" t="s">
        <v>593</v>
      </c>
      <c r="C15" s="563"/>
      <c r="D15" s="409">
        <v>0</v>
      </c>
      <c r="E15" s="415" t="s">
        <v>594</v>
      </c>
      <c r="F15" s="416" t="s">
        <v>592</v>
      </c>
    </row>
    <row r="16" spans="1:6" ht="27.5" customHeight="1" x14ac:dyDescent="0.35">
      <c r="A16" s="403"/>
      <c r="B16" s="562" t="s">
        <v>595</v>
      </c>
      <c r="C16" s="563"/>
      <c r="D16" s="409"/>
      <c r="E16" s="415" t="s">
        <v>596</v>
      </c>
      <c r="F16" s="416"/>
    </row>
    <row r="17" spans="1:6" ht="35" customHeight="1" x14ac:dyDescent="0.35">
      <c r="A17" s="403"/>
      <c r="B17" s="562" t="s">
        <v>597</v>
      </c>
      <c r="C17" s="563"/>
      <c r="D17" s="409"/>
      <c r="E17" s="415" t="s">
        <v>598</v>
      </c>
      <c r="F17" s="416" t="s">
        <v>592</v>
      </c>
    </row>
    <row r="18" spans="1:6" ht="35" customHeight="1" x14ac:dyDescent="0.35">
      <c r="A18" s="403"/>
      <c r="B18" s="562" t="s">
        <v>599</v>
      </c>
      <c r="C18" s="563"/>
      <c r="D18" s="409"/>
      <c r="E18" s="415" t="s">
        <v>600</v>
      </c>
      <c r="F18" s="416" t="s">
        <v>592</v>
      </c>
    </row>
    <row r="19" spans="1:6" ht="35" customHeight="1" x14ac:dyDescent="0.35">
      <c r="A19" s="403"/>
      <c r="B19" s="562" t="s">
        <v>601</v>
      </c>
      <c r="C19" s="563"/>
      <c r="D19" s="409"/>
      <c r="E19" s="415" t="s">
        <v>602</v>
      </c>
      <c r="F19" s="416" t="s">
        <v>592</v>
      </c>
    </row>
    <row r="20" spans="1:6" ht="35" customHeight="1" x14ac:dyDescent="0.35">
      <c r="A20" s="403"/>
      <c r="B20" s="562" t="s">
        <v>603</v>
      </c>
      <c r="C20" s="563"/>
      <c r="D20" s="409">
        <v>0</v>
      </c>
      <c r="E20" s="415" t="s">
        <v>604</v>
      </c>
      <c r="F20" s="416" t="s">
        <v>592</v>
      </c>
    </row>
    <row r="21" spans="1:6" ht="35" customHeight="1" x14ac:dyDescent="0.35">
      <c r="A21" s="403"/>
      <c r="B21" s="562" t="s">
        <v>605</v>
      </c>
      <c r="C21" s="563"/>
      <c r="D21" s="409"/>
      <c r="E21" s="415" t="s">
        <v>606</v>
      </c>
      <c r="F21" s="416" t="s">
        <v>592</v>
      </c>
    </row>
    <row r="22" spans="1:6" ht="35" customHeight="1" x14ac:dyDescent="0.35">
      <c r="A22" s="403"/>
      <c r="B22" s="562" t="s">
        <v>607</v>
      </c>
      <c r="C22" s="563"/>
      <c r="D22" s="409">
        <v>0</v>
      </c>
      <c r="E22" s="415" t="s">
        <v>608</v>
      </c>
      <c r="F22" s="416" t="s">
        <v>592</v>
      </c>
    </row>
    <row r="23" spans="1:6" ht="50" customHeight="1" x14ac:dyDescent="0.35">
      <c r="A23" s="403"/>
      <c r="B23" s="562" t="s">
        <v>609</v>
      </c>
      <c r="C23" s="563"/>
      <c r="D23" s="409">
        <v>0</v>
      </c>
      <c r="E23" s="415" t="s">
        <v>610</v>
      </c>
      <c r="F23" s="416" t="s">
        <v>592</v>
      </c>
    </row>
    <row r="24" spans="1:6" ht="14.5" x14ac:dyDescent="0.35">
      <c r="A24" s="403"/>
      <c r="B24" s="562" t="s">
        <v>611</v>
      </c>
      <c r="C24" s="563"/>
      <c r="D24" s="409">
        <v>0</v>
      </c>
      <c r="E24" s="415" t="s">
        <v>612</v>
      </c>
      <c r="F24" s="416" t="s">
        <v>592</v>
      </c>
    </row>
    <row r="25" spans="1:6" ht="14.5" x14ac:dyDescent="0.35">
      <c r="A25" s="403"/>
      <c r="B25" s="562" t="s">
        <v>613</v>
      </c>
      <c r="C25" s="563"/>
      <c r="D25" s="409">
        <v>0</v>
      </c>
      <c r="E25" s="415" t="s">
        <v>614</v>
      </c>
      <c r="F25" s="416" t="s">
        <v>592</v>
      </c>
    </row>
    <row r="26" spans="1:6" ht="35" customHeight="1" x14ac:dyDescent="0.35">
      <c r="A26" s="403"/>
      <c r="B26" s="562" t="s">
        <v>615</v>
      </c>
      <c r="C26" s="563"/>
      <c r="D26" s="409">
        <v>0</v>
      </c>
      <c r="E26" s="415" t="s">
        <v>616</v>
      </c>
      <c r="F26" s="416" t="s">
        <v>592</v>
      </c>
    </row>
    <row r="27" spans="1:6" ht="20" customHeight="1" x14ac:dyDescent="0.35">
      <c r="A27" s="403"/>
      <c r="B27" s="562" t="s">
        <v>617</v>
      </c>
      <c r="C27" s="563"/>
      <c r="D27" s="409"/>
      <c r="E27" s="415"/>
      <c r="F27" s="416" t="s">
        <v>618</v>
      </c>
    </row>
    <row r="28" spans="1:6" ht="28" customHeight="1" x14ac:dyDescent="0.3">
      <c r="A28" s="405"/>
      <c r="B28" s="559"/>
      <c r="C28" s="560"/>
      <c r="D28" s="561"/>
      <c r="E28" s="414" t="s">
        <v>619</v>
      </c>
      <c r="F28" s="417" t="s">
        <v>618</v>
      </c>
    </row>
  </sheetData>
  <mergeCells count="25">
    <mergeCell ref="C9:D9"/>
    <mergeCell ref="D1:F6"/>
    <mergeCell ref="A2:B2"/>
    <mergeCell ref="B3:C3"/>
    <mergeCell ref="A7:B7"/>
    <mergeCell ref="C8:D8"/>
    <mergeCell ref="B21:C21"/>
    <mergeCell ref="C10:D10"/>
    <mergeCell ref="C11:F11"/>
    <mergeCell ref="A12:B12"/>
    <mergeCell ref="B13:C13"/>
    <mergeCell ref="B14:C14"/>
    <mergeCell ref="B15:C15"/>
    <mergeCell ref="B16:C16"/>
    <mergeCell ref="B17:C17"/>
    <mergeCell ref="B18:C18"/>
    <mergeCell ref="B19:C19"/>
    <mergeCell ref="B20:C20"/>
    <mergeCell ref="B28:D28"/>
    <mergeCell ref="B22:C22"/>
    <mergeCell ref="B23:C23"/>
    <mergeCell ref="B24:C24"/>
    <mergeCell ref="B25:C25"/>
    <mergeCell ref="B26:C26"/>
    <mergeCell ref="B27:C27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7AFB-B9AC-44D2-908F-5FDA64B7F745}">
  <dimension ref="A1:W77"/>
  <sheetViews>
    <sheetView topLeftCell="B15" zoomScale="85" zoomScaleNormal="85" zoomScaleSheetLayoutView="80" workbookViewId="0">
      <selection activeCell="J25" sqref="J25"/>
    </sheetView>
  </sheetViews>
  <sheetFormatPr defaultRowHeight="14.5" x14ac:dyDescent="0.35"/>
  <cols>
    <col min="1" max="1" width="6.1796875" style="241" customWidth="1"/>
    <col min="2" max="2" width="56.81640625" style="241" bestFit="1" customWidth="1"/>
    <col min="3" max="3" width="11.1796875" style="241" customWidth="1"/>
    <col min="4" max="4" width="17.81640625" style="241" customWidth="1"/>
    <col min="5" max="5" width="10.81640625" style="241" customWidth="1"/>
    <col min="6" max="6" width="17.1796875" style="241" bestFit="1" customWidth="1"/>
    <col min="7" max="8" width="15.54296875" style="241" customWidth="1"/>
    <col min="9" max="9" width="18.453125" style="241" customWidth="1"/>
    <col min="10" max="10" width="14.1796875" style="241" customWidth="1"/>
    <col min="11" max="11" width="16.36328125" style="241" bestFit="1" customWidth="1"/>
    <col min="12" max="12" width="21.36328125" style="241" customWidth="1"/>
    <col min="13" max="13" width="16.54296875" style="241" customWidth="1"/>
    <col min="14" max="14" width="19.90625" style="241" customWidth="1"/>
    <col min="15" max="15" width="5.81640625" style="241" customWidth="1"/>
    <col min="17" max="17" width="26.1796875" customWidth="1"/>
    <col min="18" max="18" width="18.08984375" bestFit="1" customWidth="1"/>
    <col min="19" max="19" width="14.1796875" bestFit="1" customWidth="1"/>
    <col min="20" max="20" width="13.6328125" bestFit="1" customWidth="1"/>
    <col min="21" max="21" width="17.453125" customWidth="1"/>
    <col min="22" max="22" width="14.1796875" customWidth="1"/>
    <col min="23" max="23" width="13" customWidth="1"/>
  </cols>
  <sheetData>
    <row r="1" spans="1:23" s="20" customFormat="1" ht="15" customHeight="1" x14ac:dyDescent="0.3"/>
    <row r="2" spans="1:23" s="23" customFormat="1" ht="15" customHeight="1" x14ac:dyDescent="0.35">
      <c r="A2" s="17"/>
      <c r="B2" s="18"/>
      <c r="C2" s="551" t="s">
        <v>232</v>
      </c>
      <c r="D2" s="551"/>
      <c r="E2" s="551"/>
      <c r="F2" s="551"/>
      <c r="G2" s="551"/>
      <c r="H2" s="551"/>
      <c r="I2" s="551"/>
      <c r="J2" s="551"/>
      <c r="K2" s="551"/>
      <c r="L2" s="156"/>
      <c r="M2" s="156"/>
      <c r="N2" s="156"/>
    </row>
    <row r="3" spans="1:23" s="23" customFormat="1" ht="15" customHeight="1" x14ac:dyDescent="0.35">
      <c r="A3" s="17"/>
      <c r="B3" s="18"/>
      <c r="C3" s="552" t="s">
        <v>185</v>
      </c>
      <c r="D3" s="552"/>
      <c r="E3" s="552"/>
      <c r="F3" s="552"/>
      <c r="G3" s="552"/>
      <c r="H3" s="552"/>
      <c r="I3" s="552"/>
      <c r="J3" s="552"/>
      <c r="K3" s="552"/>
      <c r="L3" s="157"/>
      <c r="M3" s="157"/>
      <c r="N3" s="157"/>
    </row>
    <row r="4" spans="1:23" s="23" customFormat="1" ht="15" customHeight="1" x14ac:dyDescent="0.35">
      <c r="A4" s="17"/>
      <c r="B4" s="18"/>
      <c r="C4" s="552" t="s">
        <v>478</v>
      </c>
      <c r="D4" s="552"/>
      <c r="E4" s="552"/>
      <c r="F4" s="552"/>
      <c r="G4" s="552"/>
      <c r="H4" s="552"/>
      <c r="I4" s="552"/>
      <c r="J4" s="552"/>
      <c r="K4" s="552"/>
      <c r="L4" s="157"/>
      <c r="M4" s="157"/>
      <c r="N4" s="157"/>
    </row>
    <row r="5" spans="1:23" s="23" customFormat="1" ht="15" customHeight="1" thickBot="1" x14ac:dyDescent="0.4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23" s="23" customFormat="1" ht="15" customHeight="1" thickBot="1" x14ac:dyDescent="0.4">
      <c r="A6" s="578" t="s">
        <v>306</v>
      </c>
      <c r="B6" s="579"/>
      <c r="C6" s="273"/>
      <c r="D6" s="580" t="s">
        <v>307</v>
      </c>
      <c r="E6" s="580"/>
      <c r="F6" s="273"/>
      <c r="G6" s="273" t="s">
        <v>234</v>
      </c>
      <c r="H6" s="273"/>
      <c r="I6" s="273"/>
      <c r="J6" s="273"/>
      <c r="K6" s="580" t="s">
        <v>240</v>
      </c>
      <c r="L6" s="580"/>
      <c r="M6" s="274"/>
      <c r="N6" s="275"/>
      <c r="O6" s="239"/>
      <c r="V6" s="422" t="s">
        <v>627</v>
      </c>
      <c r="W6" s="423" t="s">
        <v>628</v>
      </c>
    </row>
    <row r="7" spans="1:23" s="23" customFormat="1" ht="15" customHeight="1" thickTop="1" thickBot="1" x14ac:dyDescent="0.4">
      <c r="A7" s="221"/>
      <c r="B7" s="70" t="s">
        <v>310</v>
      </c>
      <c r="C7" s="38" t="s">
        <v>222</v>
      </c>
      <c r="D7" s="584" t="str">
        <f>'Perfuração Cardwell'!D7</f>
        <v>SANEPAR</v>
      </c>
      <c r="E7" s="584"/>
      <c r="F7" s="38" t="s">
        <v>239</v>
      </c>
      <c r="G7" s="309">
        <f>'Perfuração Cardwell'!G7</f>
        <v>870</v>
      </c>
      <c r="H7" s="309"/>
      <c r="I7" s="309"/>
      <c r="J7" s="38"/>
      <c r="K7" s="38" t="s">
        <v>520</v>
      </c>
      <c r="L7" s="309">
        <f>'Perfuração Cardwell'!J7</f>
        <v>440</v>
      </c>
      <c r="M7" s="35"/>
      <c r="N7" s="362" t="s">
        <v>516</v>
      </c>
      <c r="O7" s="240"/>
      <c r="S7" s="381" t="s">
        <v>527</v>
      </c>
      <c r="T7" s="381" t="s">
        <v>528</v>
      </c>
      <c r="V7" s="424">
        <f>SUM('Perfuração Cardwell'!J155:J159)*Resumo!S8+'Perfuração Cardwell'!J163+SUM('Perfuração Cardwell'!J139:J140)</f>
        <v>60404.4</v>
      </c>
      <c r="W7" s="424" t="e">
        <f>SUM(#REF!,$J$74)*Resumo!S9</f>
        <v>#REF!</v>
      </c>
    </row>
    <row r="8" spans="1:23" s="23" customFormat="1" ht="15" customHeight="1" thickTop="1" thickBot="1" x14ac:dyDescent="0.4">
      <c r="A8" s="222"/>
      <c r="B8" s="70" t="s">
        <v>370</v>
      </c>
      <c r="C8" s="38" t="s">
        <v>1</v>
      </c>
      <c r="D8" s="584" t="str">
        <f>'Perfuração Cardwell'!D8</f>
        <v>Cornélio Procópio/PR</v>
      </c>
      <c r="E8" s="584"/>
      <c r="F8" s="38" t="s">
        <v>236</v>
      </c>
      <c r="G8" s="309">
        <f>'Perfuração Cardwell'!G8</f>
        <v>0</v>
      </c>
      <c r="H8" s="309"/>
      <c r="I8" s="309"/>
      <c r="J8" s="38"/>
      <c r="K8" s="38" t="s">
        <v>243</v>
      </c>
      <c r="L8" s="309">
        <f>'Perfuração Cardwell'!J8</f>
        <v>464</v>
      </c>
      <c r="M8" s="35"/>
      <c r="N8" s="363">
        <f>'Perfuração Cardwell'!J219</f>
        <v>7310.0504748095709</v>
      </c>
      <c r="O8" s="240"/>
      <c r="Q8" s="597" t="s">
        <v>526</v>
      </c>
      <c r="R8" s="598"/>
      <c r="S8" s="599">
        <v>0</v>
      </c>
      <c r="T8" s="600"/>
    </row>
    <row r="9" spans="1:23" s="23" customFormat="1" ht="15" customHeight="1" thickTop="1" thickBot="1" x14ac:dyDescent="0.4">
      <c r="A9" s="223" t="s">
        <v>369</v>
      </c>
      <c r="B9" s="70" t="s">
        <v>387</v>
      </c>
      <c r="C9" s="38" t="s">
        <v>0</v>
      </c>
      <c r="D9" s="584" t="str">
        <f>'Perfuração Cardwell'!D9</f>
        <v>Rua dos Expedicionários S/N</v>
      </c>
      <c r="E9" s="584"/>
      <c r="F9" s="38" t="s">
        <v>235</v>
      </c>
      <c r="G9" s="309">
        <f>'Perfuração Cardwell'!G9</f>
        <v>280</v>
      </c>
      <c r="H9" s="309"/>
      <c r="I9" s="309"/>
      <c r="J9" s="38"/>
      <c r="K9" s="38" t="s">
        <v>242</v>
      </c>
      <c r="L9" s="309">
        <f>'Perfuração Cardwell'!J9</f>
        <v>337</v>
      </c>
      <c r="M9" s="35"/>
      <c r="N9" s="279"/>
      <c r="O9" s="240"/>
      <c r="Q9" s="597" t="s">
        <v>533</v>
      </c>
      <c r="R9" s="598"/>
      <c r="S9" s="599">
        <v>0</v>
      </c>
      <c r="T9" s="600"/>
    </row>
    <row r="10" spans="1:23" s="23" customFormat="1" ht="15" customHeight="1" thickTop="1" thickBot="1" x14ac:dyDescent="0.4">
      <c r="A10" s="234" t="s">
        <v>369</v>
      </c>
      <c r="B10" s="70" t="s">
        <v>388</v>
      </c>
      <c r="C10" s="35"/>
      <c r="D10" s="236"/>
      <c r="E10" s="236"/>
      <c r="F10" s="38" t="s">
        <v>237</v>
      </c>
      <c r="G10" s="309">
        <f>'Perfuração Cardwell'!G10</f>
        <v>300</v>
      </c>
      <c r="H10" s="309"/>
      <c r="I10" s="309"/>
      <c r="J10" s="38"/>
      <c r="K10" s="38" t="s">
        <v>241</v>
      </c>
      <c r="L10" s="309">
        <f>'Perfuração Cardwell'!J10</f>
        <v>439</v>
      </c>
      <c r="M10" s="35"/>
      <c r="N10" s="279"/>
      <c r="O10" s="240"/>
    </row>
    <row r="11" spans="1:23" s="20" customFormat="1" ht="15" customHeight="1" thickTop="1" x14ac:dyDescent="0.3">
      <c r="A11" s="224"/>
      <c r="B11" s="68"/>
      <c r="C11" s="69"/>
      <c r="D11" s="585"/>
      <c r="E11" s="585"/>
      <c r="F11" s="38" t="s">
        <v>238</v>
      </c>
      <c r="G11" s="309">
        <f>'Perfuração Cardwell'!G11</f>
        <v>0</v>
      </c>
      <c r="H11" s="309"/>
      <c r="I11" s="309"/>
      <c r="J11" s="38"/>
      <c r="K11" s="38"/>
      <c r="L11" s="309"/>
      <c r="M11" s="36"/>
      <c r="N11" s="279"/>
      <c r="O11" s="240"/>
    </row>
    <row r="12" spans="1:23" s="20" customFormat="1" ht="15" customHeight="1" thickBot="1" x14ac:dyDescent="0.35">
      <c r="A12" s="276"/>
      <c r="B12" s="24"/>
      <c r="C12" s="24"/>
      <c r="D12" s="280"/>
      <c r="E12" s="280"/>
      <c r="F12" s="24"/>
      <c r="G12" s="24"/>
      <c r="H12" s="24"/>
      <c r="I12" s="24"/>
      <c r="J12" s="24"/>
      <c r="K12" s="24"/>
      <c r="L12" s="24"/>
      <c r="N12" s="230"/>
      <c r="O12" s="215"/>
    </row>
    <row r="13" spans="1:23" s="245" customFormat="1" ht="34" customHeight="1" x14ac:dyDescent="0.3">
      <c r="A13" s="170" t="s">
        <v>23</v>
      </c>
      <c r="B13" s="452" t="s">
        <v>428</v>
      </c>
      <c r="C13" s="452"/>
      <c r="D13" s="452"/>
      <c r="E13" s="452"/>
      <c r="F13" s="452"/>
      <c r="G13" s="452"/>
      <c r="H13" s="452"/>
      <c r="I13" s="452"/>
      <c r="J13" s="452"/>
      <c r="K13" s="452"/>
      <c r="L13" s="452"/>
      <c r="M13" s="452"/>
      <c r="N13" s="453"/>
      <c r="O13" s="244"/>
      <c r="P13" s="20"/>
      <c r="Q13" s="20"/>
      <c r="R13" s="20"/>
      <c r="S13" s="20"/>
      <c r="T13" s="20"/>
      <c r="U13" s="20"/>
      <c r="V13" s="20"/>
    </row>
    <row r="14" spans="1:23" s="245" customFormat="1" ht="25.5" customHeight="1" thickBot="1" x14ac:dyDescent="0.35">
      <c r="A14" s="252" t="s">
        <v>25</v>
      </c>
      <c r="B14" s="250" t="s">
        <v>423</v>
      </c>
      <c r="C14" s="246" t="s">
        <v>424</v>
      </c>
      <c r="D14" s="289" t="s">
        <v>509</v>
      </c>
      <c r="E14" s="246" t="s">
        <v>508</v>
      </c>
      <c r="F14" s="290" t="s">
        <v>510</v>
      </c>
      <c r="G14" s="358" t="s">
        <v>511</v>
      </c>
      <c r="H14" s="357" t="s">
        <v>512</v>
      </c>
      <c r="I14" s="390" t="s">
        <v>534</v>
      </c>
      <c r="J14" s="360" t="s">
        <v>425</v>
      </c>
      <c r="K14" s="247" t="s">
        <v>507</v>
      </c>
      <c r="L14" s="247" t="s">
        <v>513</v>
      </c>
      <c r="M14" s="246" t="s">
        <v>514</v>
      </c>
      <c r="N14" s="249" t="s">
        <v>426</v>
      </c>
      <c r="O14" s="244"/>
      <c r="Q14" s="289" t="s">
        <v>530</v>
      </c>
      <c r="R14" s="290" t="s">
        <v>531</v>
      </c>
      <c r="S14" s="358" t="s">
        <v>511</v>
      </c>
      <c r="T14" s="357" t="s">
        <v>512</v>
      </c>
      <c r="U14" s="390" t="s">
        <v>534</v>
      </c>
    </row>
    <row r="15" spans="1:23" s="245" customFormat="1" ht="15" customHeight="1" thickTop="1" thickBot="1" x14ac:dyDescent="0.35">
      <c r="A15" s="252" t="s">
        <v>28</v>
      </c>
      <c r="B15" s="251" t="s">
        <v>529</v>
      </c>
      <c r="C15" s="437">
        <v>1.875</v>
      </c>
      <c r="D15" s="324">
        <f>'Perfuração Cardwell'!H215</f>
        <v>6359743.9130843263</v>
      </c>
      <c r="E15" s="361">
        <v>0.16500000000000001</v>
      </c>
      <c r="F15" s="325">
        <f>'Perfuração Cardwell'!H219</f>
        <v>6000418.3819950614</v>
      </c>
      <c r="G15" s="359">
        <f>'Perfuração Cardwell'!H221</f>
        <v>4062111.8806127436</v>
      </c>
      <c r="H15" s="325">
        <f>'Perfuração Cardwell'!J202</f>
        <v>724729.21349071979</v>
      </c>
      <c r="I15" s="325">
        <f>'Perfuração Cardwell'!J205</f>
        <v>62580.46232876712</v>
      </c>
      <c r="J15" s="361">
        <v>0.15</v>
      </c>
      <c r="K15" s="326">
        <f>'Perfuração Cardwell'!J210</f>
        <v>529840.68007992301</v>
      </c>
      <c r="L15" s="255">
        <f>'Perfuração Cardwell'!G222</f>
        <v>0.32302855867491292</v>
      </c>
      <c r="M15" s="255">
        <f>'Perfuração Cardwell'!H229</f>
        <v>0.17302855867491293</v>
      </c>
      <c r="N15" s="285">
        <v>1</v>
      </c>
      <c r="O15" s="244"/>
      <c r="Q15" s="384">
        <f t="shared" ref="Q15" si="0">D15*N15</f>
        <v>6359743.9130843263</v>
      </c>
      <c r="R15" s="384">
        <f t="shared" ref="R15" si="1">F15*N15</f>
        <v>6000418.3819950614</v>
      </c>
      <c r="S15" s="384">
        <f t="shared" ref="S15" si="2">G15*N15</f>
        <v>4062111.8806127436</v>
      </c>
      <c r="T15" s="395">
        <f t="shared" ref="T15" si="3">H15*N15</f>
        <v>724729.21349071979</v>
      </c>
      <c r="U15" s="391">
        <f t="shared" ref="U15" si="4">I15*N15</f>
        <v>62580.46232876712</v>
      </c>
    </row>
    <row r="16" spans="1:23" s="16" customFormat="1" ht="15" customHeight="1" thickTop="1" thickBot="1" x14ac:dyDescent="0.4">
      <c r="A16" s="277"/>
      <c r="B16" s="383"/>
      <c r="C16" s="383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78"/>
      <c r="O16" s="241"/>
      <c r="P16" s="382" t="s">
        <v>141</v>
      </c>
      <c r="Q16" s="392">
        <f>SUM(Q15:Q15)</f>
        <v>6359743.9130843263</v>
      </c>
      <c r="R16" s="392">
        <f>SUM(R15:R15)</f>
        <v>6000418.3819950614</v>
      </c>
      <c r="S16" s="392">
        <f>SUM(S15:S15)</f>
        <v>4062111.8806127436</v>
      </c>
      <c r="T16" s="392">
        <f>SUM(T15:T15)</f>
        <v>724729.21349071979</v>
      </c>
      <c r="U16" s="393">
        <f>SUM(U15:U15)</f>
        <v>62580.46232876712</v>
      </c>
    </row>
    <row r="17" spans="1:18" s="16" customFormat="1" ht="15" customHeight="1" thickBot="1" x14ac:dyDescent="0.4">
      <c r="A17" s="581" t="s">
        <v>427</v>
      </c>
      <c r="B17" s="582"/>
      <c r="C17" s="582"/>
      <c r="D17" s="582"/>
      <c r="E17" s="582"/>
      <c r="F17" s="582"/>
      <c r="G17" s="582"/>
      <c r="H17" s="582"/>
      <c r="I17" s="582"/>
      <c r="J17" s="582"/>
      <c r="K17" s="582"/>
      <c r="L17" s="582"/>
      <c r="M17" s="582"/>
      <c r="N17" s="583"/>
      <c r="O17" s="241"/>
    </row>
    <row r="18" spans="1:18" s="16" customFormat="1" ht="15" customHeight="1" thickBot="1" x14ac:dyDescent="0.4">
      <c r="A18" s="327">
        <v>1</v>
      </c>
      <c r="B18" s="586" t="s">
        <v>188</v>
      </c>
      <c r="C18" s="587"/>
      <c r="D18" s="587"/>
      <c r="E18" s="587"/>
      <c r="F18" s="587"/>
      <c r="G18" s="587"/>
      <c r="H18" s="587"/>
      <c r="I18" s="587"/>
      <c r="J18" s="587"/>
      <c r="K18" s="588"/>
      <c r="L18" s="313"/>
      <c r="M18" s="328" t="s">
        <v>526</v>
      </c>
      <c r="N18" s="328" t="s">
        <v>189</v>
      </c>
      <c r="O18" s="241"/>
    </row>
    <row r="19" spans="1:18" s="16" customFormat="1" ht="15" customHeight="1" thickTop="1" thickBot="1" x14ac:dyDescent="0.4">
      <c r="A19" s="254">
        <v>2</v>
      </c>
      <c r="B19" s="591" t="s">
        <v>190</v>
      </c>
      <c r="C19" s="592"/>
      <c r="D19" s="592"/>
      <c r="E19" s="592"/>
      <c r="F19" s="592"/>
      <c r="G19" s="592"/>
      <c r="H19" s="592"/>
      <c r="I19" s="592"/>
      <c r="J19" s="593"/>
      <c r="K19" s="385">
        <f>Q16</f>
        <v>6359743.9130843263</v>
      </c>
      <c r="L19" s="314"/>
      <c r="M19" s="363">
        <f>'Perfuração Cardwell'!I215</f>
        <v>0</v>
      </c>
      <c r="N19" s="366">
        <f>K19</f>
        <v>6359743.9130843263</v>
      </c>
      <c r="O19" s="241"/>
    </row>
    <row r="20" spans="1:18" s="16" customFormat="1" ht="15" customHeight="1" thickTop="1" thickBot="1" x14ac:dyDescent="0.4">
      <c r="A20" s="254">
        <v>3</v>
      </c>
      <c r="B20" s="575" t="s">
        <v>191</v>
      </c>
      <c r="C20" s="576"/>
      <c r="D20" s="576"/>
      <c r="E20" s="576"/>
      <c r="F20" s="576"/>
      <c r="G20" s="576"/>
      <c r="H20" s="576"/>
      <c r="I20" s="576"/>
      <c r="J20" s="577"/>
      <c r="K20" s="310">
        <f>$K19*J20</f>
        <v>0</v>
      </c>
      <c r="L20" s="315"/>
      <c r="M20" s="315"/>
      <c r="N20" s="320"/>
      <c r="O20" s="241"/>
    </row>
    <row r="21" spans="1:18" s="16" customFormat="1" ht="15" customHeight="1" thickTop="1" thickBot="1" x14ac:dyDescent="0.4">
      <c r="A21" s="254">
        <v>4</v>
      </c>
      <c r="B21" s="575" t="s">
        <v>193</v>
      </c>
      <c r="C21" s="576"/>
      <c r="D21" s="576"/>
      <c r="E21" s="576"/>
      <c r="F21" s="576"/>
      <c r="G21" s="576"/>
      <c r="H21" s="576"/>
      <c r="I21" s="576"/>
      <c r="J21" s="577"/>
      <c r="K21" s="310">
        <f>$K19*J21</f>
        <v>0</v>
      </c>
      <c r="L21" s="316"/>
      <c r="M21" s="433" t="s">
        <v>639</v>
      </c>
      <c r="N21" s="434">
        <v>7620820</v>
      </c>
      <c r="O21" s="241"/>
    </row>
    <row r="22" spans="1:18" s="16" customFormat="1" ht="15" customHeight="1" thickTop="1" thickBot="1" x14ac:dyDescent="0.4">
      <c r="A22" s="254">
        <v>5</v>
      </c>
      <c r="B22" s="594" t="s">
        <v>386</v>
      </c>
      <c r="C22" s="595"/>
      <c r="D22" s="595"/>
      <c r="E22" s="595"/>
      <c r="F22" s="595"/>
      <c r="G22" s="595"/>
      <c r="H22" s="595"/>
      <c r="I22" s="595"/>
      <c r="J22" s="596"/>
      <c r="K22" s="311">
        <f>R16</f>
        <v>6000418.3819950614</v>
      </c>
      <c r="L22" s="316"/>
      <c r="M22" s="316"/>
      <c r="N22" s="321"/>
      <c r="O22" s="241"/>
    </row>
    <row r="23" spans="1:18" s="16" customFormat="1" ht="15" customHeight="1" thickTop="1" thickBot="1" x14ac:dyDescent="0.4">
      <c r="A23" s="254">
        <v>6</v>
      </c>
      <c r="B23" s="418" t="s">
        <v>195</v>
      </c>
      <c r="C23" s="419"/>
      <c r="D23" s="419"/>
      <c r="E23" s="419"/>
      <c r="F23" s="419"/>
      <c r="G23" s="419"/>
      <c r="H23" s="419"/>
      <c r="I23" s="419"/>
      <c r="J23" s="420"/>
      <c r="K23" s="310">
        <f>$K19*J23</f>
        <v>0</v>
      </c>
      <c r="L23" s="317"/>
      <c r="M23" s="317"/>
      <c r="N23" s="321"/>
      <c r="O23" s="241"/>
      <c r="Q23" s="421" t="s">
        <v>620</v>
      </c>
      <c r="R23" s="425">
        <v>0.02</v>
      </c>
    </row>
    <row r="24" spans="1:18" s="16" customFormat="1" ht="15" customHeight="1" thickTop="1" thickBot="1" x14ac:dyDescent="0.4">
      <c r="A24" s="254">
        <v>7</v>
      </c>
      <c r="B24" s="591" t="s">
        <v>196</v>
      </c>
      <c r="C24" s="592"/>
      <c r="D24" s="592"/>
      <c r="E24" s="592"/>
      <c r="F24" s="592"/>
      <c r="G24" s="592"/>
      <c r="H24" s="592"/>
      <c r="I24" s="592"/>
      <c r="J24" s="588"/>
      <c r="K24" s="312">
        <f>S16+K23</f>
        <v>4062111.8806127436</v>
      </c>
      <c r="L24" s="589"/>
      <c r="M24" s="589"/>
      <c r="N24" s="321"/>
      <c r="O24" s="241"/>
      <c r="Q24" s="421" t="s">
        <v>621</v>
      </c>
      <c r="R24" s="426">
        <f>K19-SUM('Perfuração Cardwell'!J140,'Perfuração Cardwell'!J139,'Perfuração Cardwell'!J155:J159,'Perfuração Cardwell'!J163)</f>
        <v>5395861.9750843262</v>
      </c>
    </row>
    <row r="25" spans="1:18" s="16" customFormat="1" ht="15" customHeight="1" thickTop="1" thickBot="1" x14ac:dyDescent="0.4">
      <c r="A25" s="254">
        <v>8</v>
      </c>
      <c r="B25" s="591" t="s">
        <v>197</v>
      </c>
      <c r="C25" s="592"/>
      <c r="D25" s="592"/>
      <c r="E25" s="592"/>
      <c r="F25" s="592"/>
      <c r="G25" s="592"/>
      <c r="H25" s="592"/>
      <c r="I25" s="389"/>
      <c r="J25" s="253">
        <f>K25/K22</f>
        <v>0.32302855867491292</v>
      </c>
      <c r="K25" s="312">
        <f>K22-K24</f>
        <v>1938306.5013823179</v>
      </c>
      <c r="L25" s="589"/>
      <c r="M25" s="589"/>
      <c r="N25" s="321"/>
      <c r="O25" s="241"/>
      <c r="Q25" s="421" t="s">
        <v>622</v>
      </c>
      <c r="R25" s="435">
        <f>R23*R24</f>
        <v>107917.23950168653</v>
      </c>
    </row>
    <row r="26" spans="1:18" s="16" customFormat="1" ht="15" customHeight="1" thickTop="1" thickBot="1" x14ac:dyDescent="0.4">
      <c r="A26" s="254">
        <v>9</v>
      </c>
      <c r="B26" s="575" t="s">
        <v>198</v>
      </c>
      <c r="C26" s="576"/>
      <c r="D26" s="576"/>
      <c r="E26" s="576"/>
      <c r="F26" s="576"/>
      <c r="G26" s="576"/>
      <c r="H26" s="576"/>
      <c r="I26" s="388"/>
      <c r="J26" s="229">
        <v>0.15</v>
      </c>
      <c r="K26" s="310">
        <f>$K22*J26</f>
        <v>900062.75729925919</v>
      </c>
      <c r="L26" s="589"/>
      <c r="M26" s="589"/>
      <c r="N26" s="321"/>
      <c r="O26" s="241"/>
      <c r="Q26" s="421" t="s">
        <v>623</v>
      </c>
      <c r="R26" s="435">
        <f>K19*R23-R25</f>
        <v>19277.638760000002</v>
      </c>
    </row>
    <row r="27" spans="1:18" s="16" customFormat="1" ht="15" customHeight="1" thickTop="1" thickBot="1" x14ac:dyDescent="0.4">
      <c r="A27" s="254">
        <v>10</v>
      </c>
      <c r="B27" s="575" t="s">
        <v>199</v>
      </c>
      <c r="C27" s="576"/>
      <c r="D27" s="576"/>
      <c r="E27" s="576"/>
      <c r="F27" s="576"/>
      <c r="G27" s="576"/>
      <c r="H27" s="576"/>
      <c r="I27" s="388"/>
      <c r="J27" s="232">
        <f>K27/K22</f>
        <v>0.17302855867491293</v>
      </c>
      <c r="K27" s="312">
        <f>K25-K26</f>
        <v>1038243.7440830587</v>
      </c>
      <c r="L27" s="313"/>
      <c r="M27" s="313"/>
      <c r="N27" s="322"/>
      <c r="O27" s="241"/>
      <c r="Q27" s="421" t="s">
        <v>624</v>
      </c>
      <c r="R27" s="436">
        <f>R26/K19</f>
        <v>3.0311973286123719E-3</v>
      </c>
    </row>
    <row r="28" spans="1:18" s="16" customFormat="1" ht="15" customHeight="1" thickTop="1" thickBot="1" x14ac:dyDescent="0.4">
      <c r="A28" s="254">
        <v>11</v>
      </c>
      <c r="B28" s="575" t="s">
        <v>200</v>
      </c>
      <c r="C28" s="576"/>
      <c r="D28" s="576"/>
      <c r="E28" s="576"/>
      <c r="F28" s="576"/>
      <c r="G28" s="576"/>
      <c r="H28" s="576"/>
      <c r="I28" s="576"/>
      <c r="J28" s="577"/>
      <c r="K28" s="310">
        <f>$K27*J28</f>
        <v>0</v>
      </c>
      <c r="L28" s="318"/>
      <c r="M28" s="318"/>
      <c r="N28" s="322"/>
      <c r="O28" s="241"/>
      <c r="Q28" s="421" t="s">
        <v>625</v>
      </c>
      <c r="R28" s="427">
        <f>K31+R26</f>
        <v>1057521.3828430586</v>
      </c>
    </row>
    <row r="29" spans="1:18" s="16" customFormat="1" ht="15" customHeight="1" thickTop="1" thickBot="1" x14ac:dyDescent="0.4">
      <c r="A29" s="254">
        <v>12</v>
      </c>
      <c r="B29" s="575" t="s">
        <v>202</v>
      </c>
      <c r="C29" s="576"/>
      <c r="D29" s="576"/>
      <c r="E29" s="576"/>
      <c r="F29" s="576"/>
      <c r="G29" s="576"/>
      <c r="H29" s="576"/>
      <c r="I29" s="576"/>
      <c r="J29" s="577"/>
      <c r="K29" s="310">
        <f>$K27*J29</f>
        <v>0</v>
      </c>
      <c r="L29" s="318"/>
      <c r="M29" s="318"/>
      <c r="N29" s="322"/>
      <c r="O29" s="241"/>
      <c r="Q29" s="421" t="s">
        <v>626</v>
      </c>
      <c r="R29" s="428">
        <f>R28/K22</f>
        <v>0.17624127444450738</v>
      </c>
    </row>
    <row r="30" spans="1:18" s="16" customFormat="1" ht="15" customHeight="1" thickTop="1" thickBot="1" x14ac:dyDescent="0.4">
      <c r="A30" s="254">
        <v>13</v>
      </c>
      <c r="B30" s="575" t="s">
        <v>203</v>
      </c>
      <c r="C30" s="576"/>
      <c r="D30" s="576"/>
      <c r="E30" s="576"/>
      <c r="F30" s="576"/>
      <c r="G30" s="576"/>
      <c r="H30" s="576"/>
      <c r="I30" s="576"/>
      <c r="J30" s="577"/>
      <c r="K30" s="310">
        <f>$K19*J30</f>
        <v>0</v>
      </c>
      <c r="L30" s="317"/>
      <c r="M30" s="317"/>
      <c r="N30" s="321"/>
      <c r="O30" s="241"/>
    </row>
    <row r="31" spans="1:18" s="16" customFormat="1" ht="15" customHeight="1" thickTop="1" thickBot="1" x14ac:dyDescent="0.4">
      <c r="A31" s="254">
        <v>14</v>
      </c>
      <c r="B31" s="591" t="s">
        <v>204</v>
      </c>
      <c r="C31" s="592"/>
      <c r="D31" s="592"/>
      <c r="E31" s="592"/>
      <c r="F31" s="592"/>
      <c r="G31" s="592"/>
      <c r="H31" s="592"/>
      <c r="I31" s="592"/>
      <c r="J31" s="593"/>
      <c r="K31" s="312">
        <f>K27-SUM(K28:K30)</f>
        <v>1038243.7440830587</v>
      </c>
      <c r="L31" s="313"/>
      <c r="M31" s="313"/>
      <c r="N31" s="322"/>
      <c r="O31" s="241"/>
    </row>
    <row r="32" spans="1:18" s="16" customFormat="1" ht="15" customHeight="1" thickTop="1" thickBot="1" x14ac:dyDescent="0.4">
      <c r="A32" s="228"/>
      <c r="B32" s="590" t="s">
        <v>205</v>
      </c>
      <c r="C32" s="590"/>
      <c r="D32" s="590"/>
      <c r="E32" s="590"/>
      <c r="F32" s="590"/>
      <c r="G32" s="590"/>
      <c r="H32" s="590"/>
      <c r="I32" s="590"/>
      <c r="J32" s="590"/>
      <c r="K32" s="231">
        <f>K31/K22</f>
        <v>0.17302855867491293</v>
      </c>
      <c r="L32" s="319"/>
      <c r="M32" s="319"/>
      <c r="N32" s="323"/>
      <c r="O32" s="241"/>
    </row>
    <row r="33" spans="1:15" s="16" customFormat="1" x14ac:dyDescent="0.35">
      <c r="A33" s="241"/>
      <c r="B33" s="241"/>
      <c r="C33" s="241"/>
      <c r="D33" s="241"/>
      <c r="E33" s="241"/>
      <c r="F33" s="241"/>
      <c r="G33" s="241"/>
      <c r="H33" s="241"/>
      <c r="I33" s="241"/>
      <c r="J33" s="241"/>
      <c r="K33" s="242"/>
      <c r="L33" s="241"/>
      <c r="M33" s="241"/>
      <c r="N33" s="241"/>
      <c r="O33" s="241"/>
    </row>
    <row r="34" spans="1:15" s="16" customFormat="1" x14ac:dyDescent="0.35">
      <c r="A34" s="241"/>
      <c r="B34" s="241"/>
      <c r="C34" s="241"/>
      <c r="D34" s="242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</row>
    <row r="35" spans="1:15" s="16" customFormat="1" x14ac:dyDescent="0.35">
      <c r="A35" s="241"/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</row>
    <row r="36" spans="1:15" s="16" customFormat="1" x14ac:dyDescent="0.35">
      <c r="A36" s="241"/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</row>
    <row r="37" spans="1:15" s="16" customFormat="1" x14ac:dyDescent="0.35">
      <c r="A37" s="241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</row>
    <row r="38" spans="1:15" s="16" customFormat="1" x14ac:dyDescent="0.35">
      <c r="A38" s="241"/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3"/>
      <c r="M38" s="241"/>
      <c r="N38" s="241"/>
      <c r="O38" s="241"/>
    </row>
    <row r="39" spans="1:15" s="16" customFormat="1" x14ac:dyDescent="0.35">
      <c r="A39" s="241"/>
      <c r="B39" s="24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</row>
    <row r="40" spans="1:15" s="16" customFormat="1" x14ac:dyDescent="0.35">
      <c r="A40" s="241"/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</row>
    <row r="41" spans="1:15" s="16" customFormat="1" x14ac:dyDescent="0.35">
      <c r="A41" s="241"/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</row>
    <row r="42" spans="1:15" s="16" customFormat="1" x14ac:dyDescent="0.35">
      <c r="A42" s="241"/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</row>
    <row r="43" spans="1:15" s="16" customFormat="1" x14ac:dyDescent="0.35">
      <c r="A43" s="241"/>
      <c r="B43" s="241"/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</row>
    <row r="44" spans="1:15" s="16" customFormat="1" x14ac:dyDescent="0.35">
      <c r="A44" s="241"/>
      <c r="B44" s="241"/>
      <c r="C44" s="241"/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</row>
    <row r="45" spans="1:15" s="16" customFormat="1" x14ac:dyDescent="0.35">
      <c r="A45" s="241"/>
      <c r="B45" s="241"/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</row>
    <row r="46" spans="1:15" s="16" customFormat="1" x14ac:dyDescent="0.35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</row>
    <row r="47" spans="1:15" s="16" customFormat="1" x14ac:dyDescent="0.35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1:15" s="16" customFormat="1" x14ac:dyDescent="0.35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</row>
    <row r="49" spans="1:15" s="16" customFormat="1" x14ac:dyDescent="0.35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</row>
    <row r="50" spans="1:15" s="16" customFormat="1" x14ac:dyDescent="0.35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</row>
    <row r="51" spans="1:15" s="16" customFormat="1" x14ac:dyDescent="0.35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</row>
    <row r="52" spans="1:15" s="16" customFormat="1" x14ac:dyDescent="0.35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</row>
    <row r="53" spans="1:15" s="16" customFormat="1" x14ac:dyDescent="0.35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</row>
    <row r="54" spans="1:15" s="16" customFormat="1" x14ac:dyDescent="0.35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</row>
    <row r="55" spans="1:15" s="16" customFormat="1" x14ac:dyDescent="0.35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</row>
    <row r="56" spans="1:15" s="16" customFormat="1" x14ac:dyDescent="0.35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</row>
    <row r="57" spans="1:15" s="16" customFormat="1" x14ac:dyDescent="0.35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</row>
    <row r="58" spans="1:15" s="16" customFormat="1" x14ac:dyDescent="0.35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</row>
    <row r="59" spans="1:15" s="16" customFormat="1" x14ac:dyDescent="0.35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</row>
    <row r="60" spans="1:15" s="16" customFormat="1" x14ac:dyDescent="0.35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</row>
    <row r="61" spans="1:15" s="16" customFormat="1" x14ac:dyDescent="0.35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</row>
    <row r="62" spans="1:15" s="16" customFormat="1" x14ac:dyDescent="0.35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</row>
    <row r="63" spans="1:15" s="16" customFormat="1" x14ac:dyDescent="0.35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</row>
    <row r="64" spans="1:15" s="16" customFormat="1" x14ac:dyDescent="0.35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</row>
    <row r="65" spans="1:15" s="16" customFormat="1" x14ac:dyDescent="0.35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</row>
    <row r="66" spans="1:15" s="16" customFormat="1" x14ac:dyDescent="0.35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</row>
    <row r="67" spans="1:15" s="16" customFormat="1" x14ac:dyDescent="0.35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</row>
    <row r="68" spans="1:15" s="16" customFormat="1" x14ac:dyDescent="0.35">
      <c r="A68" s="241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</row>
    <row r="69" spans="1:15" s="16" customFormat="1" x14ac:dyDescent="0.35">
      <c r="A69" s="241"/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</row>
    <row r="70" spans="1:15" s="16" customFormat="1" x14ac:dyDescent="0.35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</row>
    <row r="71" spans="1:15" s="16" customFormat="1" x14ac:dyDescent="0.35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</row>
    <row r="72" spans="1:15" s="16" customFormat="1" x14ac:dyDescent="0.35">
      <c r="A72" s="241"/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</row>
    <row r="73" spans="1:15" s="16" customFormat="1" x14ac:dyDescent="0.35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</row>
    <row r="74" spans="1:15" s="16" customFormat="1" x14ac:dyDescent="0.35">
      <c r="A74" s="241"/>
      <c r="B74" s="241"/>
      <c r="C74" s="241"/>
      <c r="D74" s="241"/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</row>
    <row r="75" spans="1:15" s="16" customFormat="1" x14ac:dyDescent="0.35">
      <c r="A75" s="241"/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</row>
    <row r="76" spans="1:15" s="16" customFormat="1" x14ac:dyDescent="0.35">
      <c r="A76" s="241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</row>
    <row r="77" spans="1:15" s="16" customFormat="1" x14ac:dyDescent="0.35">
      <c r="A77" s="241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</row>
  </sheetData>
  <mergeCells count="32">
    <mergeCell ref="Q8:R8"/>
    <mergeCell ref="S8:T8"/>
    <mergeCell ref="M24:M26"/>
    <mergeCell ref="D7:E7"/>
    <mergeCell ref="B29:J29"/>
    <mergeCell ref="Q9:R9"/>
    <mergeCell ref="S9:T9"/>
    <mergeCell ref="B30:J30"/>
    <mergeCell ref="B18:K18"/>
    <mergeCell ref="L24:L26"/>
    <mergeCell ref="B32:J32"/>
    <mergeCell ref="B31:J31"/>
    <mergeCell ref="B22:J22"/>
    <mergeCell ref="B24:J24"/>
    <mergeCell ref="B19:J19"/>
    <mergeCell ref="B28:J28"/>
    <mergeCell ref="B25:H25"/>
    <mergeCell ref="B26:H26"/>
    <mergeCell ref="B27:H27"/>
    <mergeCell ref="C4:K4"/>
    <mergeCell ref="B20:J20"/>
    <mergeCell ref="B21:J21"/>
    <mergeCell ref="C2:K2"/>
    <mergeCell ref="C3:K3"/>
    <mergeCell ref="A6:B6"/>
    <mergeCell ref="D6:E6"/>
    <mergeCell ref="B13:N13"/>
    <mergeCell ref="A17:N17"/>
    <mergeCell ref="D8:E8"/>
    <mergeCell ref="D9:E9"/>
    <mergeCell ref="D11:E11"/>
    <mergeCell ref="K6:L6"/>
  </mergeCells>
  <phoneticPr fontId="12" type="noConversion"/>
  <pageMargins left="0.511811024" right="0.511811024" top="0.78740157499999996" bottom="0.78740157499999996" header="0.31496062000000002" footer="0.31496062000000002"/>
  <pageSetup paperSize="9"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B360-B5B6-4964-BC52-82C23EEE0043}">
  <dimension ref="C23"/>
  <sheetViews>
    <sheetView workbookViewId="0">
      <selection activeCell="E24" sqref="E24"/>
    </sheetView>
  </sheetViews>
  <sheetFormatPr defaultRowHeight="12.5" x14ac:dyDescent="0.25"/>
  <sheetData>
    <row r="23" spans="3:3" x14ac:dyDescent="0.25">
      <c r="C23" t="s">
        <v>640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37F908457E72419346FB7E30EABC3C" ma:contentTypeVersion="20" ma:contentTypeDescription="Create a new document." ma:contentTypeScope="" ma:versionID="081e8781c684a6cf03c0ef9e292f5aa8">
  <xsd:schema xmlns:xsd="http://www.w3.org/2001/XMLSchema" xmlns:xs="http://www.w3.org/2001/XMLSchema" xmlns:p="http://schemas.microsoft.com/office/2006/metadata/properties" xmlns:ns2="f5880834-e68c-4a0d-ba8b-21ea3844106e" xmlns:ns3="c1729d56-c7e4-4312-924b-97c97ff2a596" targetNamespace="http://schemas.microsoft.com/office/2006/metadata/properties" ma:root="true" ma:fieldsID="c71f4614028a0642c52a1bd54971ad1b" ns2:_="" ns3:_="">
    <xsd:import namespace="f5880834-e68c-4a0d-ba8b-21ea3844106e"/>
    <xsd:import namespace="c1729d56-c7e4-4312-924b-97c97ff2a5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80834-e68c-4a0d-ba8b-21ea384410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ace10e6-8c8a-46b5-9435-807f619c65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29d56-c7e4-4312-924b-97c97ff2a59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5680c20-d554-412a-bca7-74da379a0976}" ma:internalName="TaxCatchAll" ma:showField="CatchAllData" ma:web="c1729d56-c7e4-4312-924b-97c97ff2a5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80834-e68c-4a0d-ba8b-21ea3844106e">
      <Terms xmlns="http://schemas.microsoft.com/office/infopath/2007/PartnerControls"/>
    </lcf76f155ced4ddcb4097134ff3c332f>
    <TaxCatchAll xmlns="c1729d56-c7e4-4312-924b-97c97ff2a59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0ace10e6-8c8a-46b5-9435-807f619c65c5" ContentTypeId="0x0101" PreviousValue="false"/>
</file>

<file path=customXml/itemProps1.xml><?xml version="1.0" encoding="utf-8"?>
<ds:datastoreItem xmlns:ds="http://schemas.openxmlformats.org/officeDocument/2006/customXml" ds:itemID="{CDBF6E4C-8D2D-4AE3-AC28-428DAFF14B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880834-e68c-4a0d-ba8b-21ea3844106e"/>
    <ds:schemaRef ds:uri="c1729d56-c7e4-4312-924b-97c97ff2a5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194AB8-A6E9-45B2-97FB-90DA3BE2F35C}">
  <ds:schemaRefs>
    <ds:schemaRef ds:uri="http://schemas.microsoft.com/office/2006/metadata/properties"/>
    <ds:schemaRef ds:uri="http://schemas.microsoft.com/office/infopath/2007/PartnerControls"/>
    <ds:schemaRef ds:uri="f5880834-e68c-4a0d-ba8b-21ea3844106e"/>
    <ds:schemaRef ds:uri="c1729d56-c7e4-4312-924b-97c97ff2a596"/>
  </ds:schemaRefs>
</ds:datastoreItem>
</file>

<file path=customXml/itemProps3.xml><?xml version="1.0" encoding="utf-8"?>
<ds:datastoreItem xmlns:ds="http://schemas.openxmlformats.org/officeDocument/2006/customXml" ds:itemID="{EFACF04B-CE0A-4034-9BC6-AF85480ABF3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67D3D2-D2D0-40C7-9636-290F3FF1CD82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04d09258-035b-4e4f-ae3e-d79ff3d418d8}" enabled="1" method="Standard" siteId="{f4a12867-922d-4b9d-bb85-9ee7898512a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Projeto</vt:lpstr>
      <vt:lpstr>Perfuração Cardwell</vt:lpstr>
      <vt:lpstr>Perfil Master</vt:lpstr>
      <vt:lpstr>Olho no Poço</vt:lpstr>
      <vt:lpstr>Resumo</vt:lpstr>
      <vt:lpstr>Rascunho</vt:lpstr>
      <vt:lpstr>'Perfil Master'!Area_de_impressao</vt:lpstr>
      <vt:lpstr>'Perfuração Cardwell'!Area_de_impressao</vt:lpstr>
      <vt:lpstr>Projeto!Area_de_impressao</vt:lpstr>
      <vt:lpstr>Resumo!Area_de_impressao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Valdir</dc:creator>
  <cp:keywords/>
  <dc:description/>
  <cp:lastModifiedBy>Bruna Cenatti</cp:lastModifiedBy>
  <cp:revision/>
  <dcterms:created xsi:type="dcterms:W3CDTF">2003-02-13T18:36:13Z</dcterms:created>
  <dcterms:modified xsi:type="dcterms:W3CDTF">2026-03-27T17:15:21Z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0x0101002037F908457E72419346FB7E30EABC3C</vt:lpwstr>
  </property>
  <property fmtid="{D5CDD505-2E9C-101B-9397-08002B2CF9AE}" pid="3" name="MediaServiceImageTags">
    <vt:lpwstr/>
  </property>
</Properties>
</file>