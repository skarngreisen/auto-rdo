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8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0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9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2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2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3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intia.souza\Downloads\RELATÓRIO DE HORAS PARADAS\SANEPAR\"/>
    </mc:Choice>
  </mc:AlternateContent>
  <xr:revisionPtr revIDLastSave="0" documentId="13_ncr:1_{BAC176B6-FBF7-4B4A-9EBC-6443AE1140E5}" xr6:coauthVersionLast="47" xr6:coauthVersionMax="47" xr10:uidLastSave="{00000000-0000-0000-0000-000000000000}"/>
  <bookViews>
    <workbookView xWindow="28680" yWindow="-120" windowWidth="29040" windowHeight="15720" firstSheet="1" activeTab="5" xr2:uid="{00000000-000D-0000-FFFF-FFFF00000000}"/>
  </bookViews>
  <sheets>
    <sheet name="Abril" sheetId="4" r:id="rId1"/>
    <sheet name="Maio " sheetId="16" r:id="rId2"/>
    <sheet name="JUNHO" sheetId="27" r:id="rId3"/>
    <sheet name="JULHO" sheetId="26" r:id="rId4"/>
    <sheet name="EQUIPAMENTOS" sheetId="24" r:id="rId5"/>
    <sheet name="PERFURAÇÃO" sheetId="20" r:id="rId6"/>
    <sheet name="QUÍMICOS " sheetId="21" r:id="rId7"/>
    <sheet name="EQUIPAMENTOS LOCADOS" sheetId="23" r:id="rId8"/>
    <sheet name="DASHBOARD PERFURAÇÃO" sheetId="25" r:id="rId9"/>
    <sheet name="DASHBOARD" sheetId="18" r:id="rId10"/>
    <sheet name="DISTRIBUIÇÃO DE HORAS PARADAS" sheetId="22" r:id="rId11"/>
    <sheet name="DASHBOARD MENSAL" sheetId="19" r:id="rId12"/>
    <sheet name="DASHBOARD GERAL DE EXECUÇÃO" sheetId="17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9" i="27" l="1"/>
  <c r="F50" i="27"/>
  <c r="D49" i="27"/>
  <c r="D50" i="27"/>
  <c r="M37" i="16" l="1"/>
  <c r="C49" i="16" s="1"/>
  <c r="E49" i="16" s="1"/>
  <c r="D6" i="17" l="1"/>
  <c r="E9" i="20" l="1"/>
  <c r="N9" i="20" s="1"/>
  <c r="K9" i="20"/>
  <c r="H69" i="21"/>
  <c r="H70" i="21" s="1"/>
  <c r="E69" i="21"/>
  <c r="E71" i="21" s="1"/>
  <c r="E70" i="21" l="1"/>
  <c r="E72" i="21"/>
  <c r="L37" i="16"/>
  <c r="K36" i="4" l="1"/>
  <c r="C47" i="4" s="1"/>
  <c r="E47" i="4" s="1"/>
  <c r="G15" i="24"/>
  <c r="G16" i="24"/>
  <c r="G17" i="24"/>
  <c r="G18" i="24"/>
  <c r="G19" i="24"/>
  <c r="G20" i="24"/>
  <c r="G21" i="24"/>
  <c r="G22" i="24"/>
  <c r="G23" i="24"/>
  <c r="G24" i="24"/>
  <c r="G25" i="24"/>
  <c r="G26" i="24"/>
  <c r="G27" i="24"/>
  <c r="G28" i="24"/>
  <c r="G29" i="24"/>
  <c r="G30" i="24"/>
  <c r="G31" i="24"/>
  <c r="G32" i="24"/>
  <c r="G33" i="24"/>
  <c r="G34" i="24"/>
  <c r="G35" i="24"/>
  <c r="G36" i="24"/>
  <c r="G37" i="24"/>
  <c r="G38" i="24"/>
  <c r="G39" i="24"/>
  <c r="G40" i="24"/>
  <c r="G41" i="24"/>
  <c r="G42" i="24"/>
  <c r="G43" i="24"/>
  <c r="G44" i="24"/>
  <c r="G45" i="24"/>
  <c r="G46" i="24"/>
  <c r="G47" i="24"/>
  <c r="G48" i="24"/>
  <c r="G49" i="24"/>
  <c r="G50" i="24"/>
  <c r="G51" i="24"/>
  <c r="G52" i="24"/>
  <c r="G53" i="24"/>
  <c r="G54" i="24"/>
  <c r="G55" i="24"/>
  <c r="G56" i="24"/>
  <c r="G57" i="24"/>
  <c r="G58" i="24"/>
  <c r="G59" i="24"/>
  <c r="L36" i="4" l="1"/>
  <c r="C48" i="4" s="1"/>
  <c r="E48" i="4" s="1"/>
  <c r="C51" i="16"/>
  <c r="E51" i="16" s="1"/>
  <c r="K37" i="16"/>
  <c r="C50" i="16" s="1"/>
  <c r="E50" i="16" s="1"/>
  <c r="J37" i="16"/>
  <c r="F37" i="16"/>
  <c r="H36" i="4"/>
  <c r="F36" i="4"/>
  <c r="E36" i="4"/>
  <c r="M36" i="4"/>
  <c r="N37" i="16"/>
  <c r="I37" i="16"/>
  <c r="H37" i="16"/>
  <c r="E37" i="16"/>
  <c r="O34" i="16"/>
  <c r="O19" i="16"/>
  <c r="O11" i="16" l="1"/>
  <c r="G11" i="16"/>
  <c r="O10" i="16"/>
  <c r="G10" i="16"/>
  <c r="G12" i="24"/>
  <c r="G8" i="24"/>
  <c r="G9" i="24"/>
  <c r="G7" i="24"/>
  <c r="G10" i="24"/>
  <c r="E188" i="20" l="1"/>
  <c r="K188" i="20"/>
  <c r="N188" i="20"/>
  <c r="E189" i="20"/>
  <c r="K189" i="20"/>
  <c r="N189" i="20"/>
  <c r="E190" i="20"/>
  <c r="N190" i="20" s="1"/>
  <c r="K190" i="20"/>
  <c r="E191" i="20"/>
  <c r="N191" i="20" s="1"/>
  <c r="K191" i="20"/>
  <c r="E185" i="20"/>
  <c r="N185" i="20" s="1"/>
  <c r="K185" i="20"/>
  <c r="E186" i="20"/>
  <c r="N186" i="20" s="1"/>
  <c r="K186" i="20"/>
  <c r="E187" i="20"/>
  <c r="K187" i="20"/>
  <c r="N187" i="20"/>
  <c r="E180" i="20"/>
  <c r="N180" i="20" s="1"/>
  <c r="K180" i="20"/>
  <c r="E181" i="20"/>
  <c r="N181" i="20" s="1"/>
  <c r="K181" i="20"/>
  <c r="E182" i="20"/>
  <c r="K182" i="20"/>
  <c r="N182" i="20"/>
  <c r="E183" i="20"/>
  <c r="K183" i="20"/>
  <c r="N183" i="20"/>
  <c r="E184" i="20"/>
  <c r="K184" i="20"/>
  <c r="N184" i="20"/>
  <c r="P194" i="20"/>
  <c r="B217" i="20" s="1"/>
  <c r="B218" i="20" s="1"/>
  <c r="O194" i="20"/>
  <c r="E147" i="20"/>
  <c r="K147" i="20"/>
  <c r="N147" i="20"/>
  <c r="E148" i="20"/>
  <c r="N148" i="20" s="1"/>
  <c r="K148" i="20"/>
  <c r="E150" i="20"/>
  <c r="K150" i="20"/>
  <c r="N150" i="20"/>
  <c r="E151" i="20"/>
  <c r="N151" i="20" s="1"/>
  <c r="K151" i="20"/>
  <c r="E152" i="20"/>
  <c r="K152" i="20"/>
  <c r="N152" i="20"/>
  <c r="E153" i="20"/>
  <c r="K153" i="20"/>
  <c r="N153" i="20"/>
  <c r="E154" i="20"/>
  <c r="K154" i="20"/>
  <c r="N154" i="20"/>
  <c r="E155" i="20"/>
  <c r="K155" i="20"/>
  <c r="N155" i="20"/>
  <c r="E156" i="20"/>
  <c r="K156" i="20"/>
  <c r="N156" i="20"/>
  <c r="E169" i="20"/>
  <c r="K169" i="20"/>
  <c r="N169" i="20"/>
  <c r="E170" i="20"/>
  <c r="N170" i="20" s="1"/>
  <c r="K170" i="20"/>
  <c r="E171" i="20"/>
  <c r="N171" i="20" s="1"/>
  <c r="K171" i="20"/>
  <c r="E172" i="20"/>
  <c r="N172" i="20" s="1"/>
  <c r="K172" i="20"/>
  <c r="E173" i="20"/>
  <c r="N173" i="20" s="1"/>
  <c r="K173" i="20"/>
  <c r="E174" i="20"/>
  <c r="N174" i="20" s="1"/>
  <c r="K174" i="20"/>
  <c r="E175" i="20"/>
  <c r="N175" i="20" s="1"/>
  <c r="K175" i="20"/>
  <c r="E176" i="20"/>
  <c r="N176" i="20" s="1"/>
  <c r="K176" i="20"/>
  <c r="E177" i="20"/>
  <c r="N177" i="20" s="1"/>
  <c r="K177" i="20"/>
  <c r="E178" i="20"/>
  <c r="N178" i="20" s="1"/>
  <c r="K178" i="20"/>
  <c r="E179" i="20"/>
  <c r="N179" i="20" s="1"/>
  <c r="K179" i="20"/>
  <c r="E158" i="20"/>
  <c r="N158" i="20" s="1"/>
  <c r="K158" i="20"/>
  <c r="E159" i="20"/>
  <c r="K159" i="20"/>
  <c r="N159" i="20"/>
  <c r="E160" i="20"/>
  <c r="N160" i="20" s="1"/>
  <c r="K160" i="20"/>
  <c r="E161" i="20"/>
  <c r="N161" i="20" s="1"/>
  <c r="K161" i="20"/>
  <c r="E162" i="20"/>
  <c r="N162" i="20" s="1"/>
  <c r="K162" i="20"/>
  <c r="E163" i="20"/>
  <c r="N163" i="20" s="1"/>
  <c r="K163" i="20"/>
  <c r="E164" i="20"/>
  <c r="N164" i="20" s="1"/>
  <c r="K164" i="20"/>
  <c r="E165" i="20"/>
  <c r="N165" i="20" s="1"/>
  <c r="K165" i="20"/>
  <c r="E166" i="20"/>
  <c r="N166" i="20" s="1"/>
  <c r="K166" i="20"/>
  <c r="E167" i="20"/>
  <c r="N167" i="20" s="1"/>
  <c r="K167" i="20"/>
  <c r="E168" i="20"/>
  <c r="N168" i="20" s="1"/>
  <c r="K168" i="20"/>
  <c r="E132" i="20"/>
  <c r="N132" i="20" s="1"/>
  <c r="K132" i="20"/>
  <c r="E133" i="20"/>
  <c r="N133" i="20" s="1"/>
  <c r="K133" i="20"/>
  <c r="E134" i="20"/>
  <c r="N134" i="20" s="1"/>
  <c r="K134" i="20"/>
  <c r="E135" i="20"/>
  <c r="N135" i="20" s="1"/>
  <c r="K135" i="20"/>
  <c r="E136" i="20"/>
  <c r="N136" i="20" s="1"/>
  <c r="K136" i="20"/>
  <c r="E137" i="20"/>
  <c r="N137" i="20" s="1"/>
  <c r="K137" i="20"/>
  <c r="E138" i="20"/>
  <c r="N138" i="20" s="1"/>
  <c r="K138" i="20"/>
  <c r="E139" i="20"/>
  <c r="N139" i="20" s="1"/>
  <c r="K139" i="20"/>
  <c r="E140" i="20"/>
  <c r="N140" i="20" s="1"/>
  <c r="K140" i="20"/>
  <c r="E141" i="20"/>
  <c r="N141" i="20" s="1"/>
  <c r="K141" i="20"/>
  <c r="E142" i="20"/>
  <c r="N142" i="20" s="1"/>
  <c r="K142" i="20"/>
  <c r="E143" i="20"/>
  <c r="N143" i="20" s="1"/>
  <c r="K143" i="20"/>
  <c r="E144" i="20"/>
  <c r="N144" i="20" s="1"/>
  <c r="K144" i="20"/>
  <c r="E145" i="20"/>
  <c r="N145" i="20" s="1"/>
  <c r="K145" i="20"/>
  <c r="E146" i="20"/>
  <c r="N146" i="20" s="1"/>
  <c r="K146" i="20"/>
  <c r="E149" i="20"/>
  <c r="N149" i="20" s="1"/>
  <c r="K149" i="20"/>
  <c r="E157" i="20"/>
  <c r="N157" i="20" s="1"/>
  <c r="K157" i="20"/>
  <c r="E192" i="20"/>
  <c r="N192" i="20" s="1"/>
  <c r="K192" i="20"/>
  <c r="E121" i="20"/>
  <c r="N121" i="20" s="1"/>
  <c r="K121" i="20"/>
  <c r="E122" i="20"/>
  <c r="N122" i="20" s="1"/>
  <c r="K122" i="20"/>
  <c r="E123" i="20"/>
  <c r="N123" i="20" s="1"/>
  <c r="K123" i="20"/>
  <c r="E124" i="20"/>
  <c r="N124" i="20" s="1"/>
  <c r="K124" i="20"/>
  <c r="E125" i="20"/>
  <c r="N125" i="20" s="1"/>
  <c r="K125" i="20"/>
  <c r="E126" i="20"/>
  <c r="N126" i="20" s="1"/>
  <c r="K126" i="20"/>
  <c r="E127" i="20"/>
  <c r="N127" i="20" s="1"/>
  <c r="K127" i="20"/>
  <c r="E128" i="20"/>
  <c r="N128" i="20" s="1"/>
  <c r="K128" i="20"/>
  <c r="E129" i="20"/>
  <c r="N129" i="20" s="1"/>
  <c r="K129" i="20"/>
  <c r="E130" i="20"/>
  <c r="N130" i="20" s="1"/>
  <c r="K130" i="20"/>
  <c r="E131" i="20"/>
  <c r="N131" i="20" s="1"/>
  <c r="K131" i="20"/>
  <c r="N109" i="20" l="1"/>
  <c r="E110" i="20"/>
  <c r="N110" i="20" s="1"/>
  <c r="K110" i="20"/>
  <c r="E111" i="20"/>
  <c r="N111" i="20" s="1"/>
  <c r="K111" i="20"/>
  <c r="E112" i="20"/>
  <c r="N112" i="20" s="1"/>
  <c r="K112" i="20"/>
  <c r="E113" i="20"/>
  <c r="N113" i="20" s="1"/>
  <c r="K113" i="20"/>
  <c r="E114" i="20"/>
  <c r="N114" i="20" s="1"/>
  <c r="K114" i="20"/>
  <c r="E115" i="20"/>
  <c r="N115" i="20" s="1"/>
  <c r="K115" i="20"/>
  <c r="E116" i="20"/>
  <c r="N116" i="20" s="1"/>
  <c r="K116" i="20"/>
  <c r="E117" i="20"/>
  <c r="N117" i="20" s="1"/>
  <c r="K117" i="20"/>
  <c r="E118" i="20"/>
  <c r="N118" i="20" s="1"/>
  <c r="K118" i="20"/>
  <c r="E119" i="20"/>
  <c r="N119" i="20" s="1"/>
  <c r="K119" i="20"/>
  <c r="E120" i="20"/>
  <c r="N120" i="20" s="1"/>
  <c r="K120" i="20"/>
  <c r="N98" i="20"/>
  <c r="E98" i="20"/>
  <c r="K98" i="20"/>
  <c r="E99" i="20"/>
  <c r="N99" i="20" s="1"/>
  <c r="K99" i="20"/>
  <c r="E100" i="20"/>
  <c r="N100" i="20" s="1"/>
  <c r="K100" i="20"/>
  <c r="E101" i="20"/>
  <c r="N101" i="20" s="1"/>
  <c r="K101" i="20"/>
  <c r="E102" i="20"/>
  <c r="N102" i="20" s="1"/>
  <c r="K102" i="20"/>
  <c r="E103" i="20"/>
  <c r="N103" i="20" s="1"/>
  <c r="K103" i="20"/>
  <c r="E104" i="20"/>
  <c r="N104" i="20" s="1"/>
  <c r="K104" i="20"/>
  <c r="E105" i="20"/>
  <c r="N105" i="20" s="1"/>
  <c r="K105" i="20"/>
  <c r="E106" i="20"/>
  <c r="N106" i="20" s="1"/>
  <c r="K106" i="20"/>
  <c r="E107" i="20"/>
  <c r="N107" i="20" s="1"/>
  <c r="K107" i="20"/>
  <c r="E108" i="20"/>
  <c r="N108" i="20" s="1"/>
  <c r="K108" i="20"/>
  <c r="E109" i="20"/>
  <c r="K109" i="20"/>
  <c r="E86" i="20"/>
  <c r="N86" i="20" s="1"/>
  <c r="K86" i="20"/>
  <c r="E87" i="20"/>
  <c r="N87" i="20" s="1"/>
  <c r="K87" i="20"/>
  <c r="E88" i="20"/>
  <c r="N88" i="20" s="1"/>
  <c r="K88" i="20"/>
  <c r="E89" i="20" l="1"/>
  <c r="N89" i="20" s="1"/>
  <c r="K89" i="20"/>
  <c r="E90" i="20"/>
  <c r="N90" i="20" s="1"/>
  <c r="K90" i="20"/>
  <c r="E91" i="20"/>
  <c r="N91" i="20" s="1"/>
  <c r="K91" i="20"/>
  <c r="E92" i="20"/>
  <c r="N92" i="20" s="1"/>
  <c r="K92" i="20"/>
  <c r="E93" i="20"/>
  <c r="N93" i="20" s="1"/>
  <c r="K93" i="20"/>
  <c r="E94" i="20"/>
  <c r="N94" i="20" s="1"/>
  <c r="K94" i="20"/>
  <c r="E95" i="20"/>
  <c r="N95" i="20" s="1"/>
  <c r="K95" i="20"/>
  <c r="E96" i="20"/>
  <c r="N96" i="20" s="1"/>
  <c r="K96" i="20"/>
  <c r="E97" i="20"/>
  <c r="N97" i="20" s="1"/>
  <c r="K97" i="20"/>
  <c r="E83" i="20"/>
  <c r="N83" i="20" s="1"/>
  <c r="K83" i="20"/>
  <c r="E84" i="20"/>
  <c r="N84" i="20" s="1"/>
  <c r="K84" i="20"/>
  <c r="E85" i="20"/>
  <c r="N85" i="20" s="1"/>
  <c r="K85" i="20"/>
  <c r="H72" i="21" l="1"/>
  <c r="H71" i="21"/>
  <c r="N68" i="20"/>
  <c r="N69" i="20"/>
  <c r="N70" i="20"/>
  <c r="N71" i="20"/>
  <c r="N72" i="20"/>
  <c r="N73" i="20"/>
  <c r="N74" i="20"/>
  <c r="N75" i="20"/>
  <c r="N76" i="20"/>
  <c r="N77" i="20"/>
  <c r="N78" i="20"/>
  <c r="N79" i="20"/>
  <c r="N80" i="20"/>
  <c r="N81" i="20"/>
  <c r="N82" i="20"/>
  <c r="N67" i="20"/>
  <c r="E65" i="20"/>
  <c r="N65" i="20" s="1"/>
  <c r="K65" i="20"/>
  <c r="E64" i="20"/>
  <c r="N64" i="20" s="1"/>
  <c r="K64" i="20"/>
  <c r="E63" i="20"/>
  <c r="K63" i="20"/>
  <c r="N63" i="20"/>
  <c r="E61" i="20"/>
  <c r="N61" i="20" s="1"/>
  <c r="K61" i="20"/>
  <c r="E62" i="20"/>
  <c r="K62" i="20"/>
  <c r="N62" i="20"/>
  <c r="E60" i="20"/>
  <c r="N60" i="20" s="1"/>
  <c r="K60" i="20"/>
  <c r="E57" i="20"/>
  <c r="N57" i="20" s="1"/>
  <c r="K57" i="20"/>
  <c r="N48" i="20"/>
  <c r="E48" i="20"/>
  <c r="K48" i="20"/>
  <c r="C69" i="21"/>
  <c r="B69" i="21"/>
  <c r="B70" i="21" s="1"/>
  <c r="C71" i="21" l="1"/>
  <c r="B71" i="21"/>
  <c r="E75" i="20" l="1"/>
  <c r="K75" i="20"/>
  <c r="E76" i="20"/>
  <c r="K76" i="20"/>
  <c r="E77" i="20"/>
  <c r="K77" i="20"/>
  <c r="E78" i="20"/>
  <c r="K78" i="20"/>
  <c r="E79" i="20"/>
  <c r="K79" i="20"/>
  <c r="E80" i="20"/>
  <c r="K80" i="20"/>
  <c r="E81" i="20"/>
  <c r="K81" i="20"/>
  <c r="E82" i="20"/>
  <c r="K82" i="20"/>
  <c r="G69" i="21"/>
  <c r="G71" i="21" l="1"/>
  <c r="G70" i="21"/>
  <c r="N51" i="20"/>
  <c r="N52" i="20"/>
  <c r="N53" i="20"/>
  <c r="N54" i="20"/>
  <c r="N55" i="20"/>
  <c r="N56" i="20"/>
  <c r="N58" i="20"/>
  <c r="N59" i="20"/>
  <c r="N66" i="20"/>
  <c r="N28" i="20"/>
  <c r="N29" i="20"/>
  <c r="N30" i="20"/>
  <c r="N31" i="20"/>
  <c r="N32" i="20"/>
  <c r="N33" i="20"/>
  <c r="L37" i="27"/>
  <c r="K37" i="27"/>
  <c r="N5" i="20"/>
  <c r="K5" i="20"/>
  <c r="C70" i="21" l="1"/>
  <c r="C72" i="21" s="1"/>
  <c r="D69" i="21"/>
  <c r="D71" i="21" s="1"/>
  <c r="D53" i="27"/>
  <c r="D48" i="27"/>
  <c r="F48" i="27" s="1"/>
  <c r="D47" i="27"/>
  <c r="F47" i="27" s="1"/>
  <c r="D46" i="27"/>
  <c r="F46" i="27" s="1"/>
  <c r="D45" i="27"/>
  <c r="F45" i="27" s="1"/>
  <c r="D43" i="27"/>
  <c r="D42" i="27"/>
  <c r="F42" i="27" s="1"/>
  <c r="M37" i="27"/>
  <c r="J37" i="27"/>
  <c r="I37" i="27"/>
  <c r="H37" i="27"/>
  <c r="F37" i="27"/>
  <c r="E37" i="27"/>
  <c r="N33" i="27"/>
  <c r="G33" i="27"/>
  <c r="N32" i="27"/>
  <c r="G32" i="27"/>
  <c r="N31" i="27"/>
  <c r="G31" i="27"/>
  <c r="N30" i="27"/>
  <c r="G30" i="27"/>
  <c r="N29" i="27"/>
  <c r="G29" i="27"/>
  <c r="N28" i="27"/>
  <c r="G28" i="27"/>
  <c r="N27" i="27"/>
  <c r="G27" i="27"/>
  <c r="N26" i="27"/>
  <c r="G26" i="27"/>
  <c r="N25" i="27"/>
  <c r="G25" i="27"/>
  <c r="N24" i="27"/>
  <c r="G24" i="27"/>
  <c r="N23" i="27"/>
  <c r="G23" i="27"/>
  <c r="N22" i="27"/>
  <c r="G22" i="27"/>
  <c r="N21" i="27"/>
  <c r="G21" i="27"/>
  <c r="N20" i="27"/>
  <c r="G20" i="27"/>
  <c r="N19" i="27"/>
  <c r="G19" i="27"/>
  <c r="N18" i="27"/>
  <c r="G18" i="27"/>
  <c r="N17" i="27"/>
  <c r="G17" i="27"/>
  <c r="N16" i="27"/>
  <c r="G16" i="27"/>
  <c r="N15" i="27"/>
  <c r="G15" i="27"/>
  <c r="N14" i="27"/>
  <c r="G14" i="27"/>
  <c r="N13" i="27"/>
  <c r="G13" i="27"/>
  <c r="N12" i="27"/>
  <c r="G12" i="27"/>
  <c r="N11" i="27"/>
  <c r="G11" i="27"/>
  <c r="N10" i="27"/>
  <c r="G10" i="27"/>
  <c r="N9" i="27"/>
  <c r="G9" i="27"/>
  <c r="N8" i="27"/>
  <c r="G8" i="27"/>
  <c r="N7" i="27"/>
  <c r="G7" i="27"/>
  <c r="N6" i="27"/>
  <c r="G6" i="27"/>
  <c r="N5" i="27"/>
  <c r="G5" i="27"/>
  <c r="N4" i="27"/>
  <c r="G4" i="27"/>
  <c r="D53" i="26"/>
  <c r="D48" i="26"/>
  <c r="F48" i="26" s="1"/>
  <c r="D47" i="26"/>
  <c r="F47" i="26" s="1"/>
  <c r="D46" i="26"/>
  <c r="F46" i="26" s="1"/>
  <c r="D45" i="26"/>
  <c r="F45" i="26" s="1"/>
  <c r="D43" i="26"/>
  <c r="F43" i="26" s="1"/>
  <c r="D42" i="26"/>
  <c r="F42" i="26" s="1"/>
  <c r="K37" i="26"/>
  <c r="J37" i="26"/>
  <c r="I37" i="26"/>
  <c r="H37" i="26"/>
  <c r="F37" i="26"/>
  <c r="E37" i="26"/>
  <c r="G34" i="26"/>
  <c r="L33" i="26"/>
  <c r="G33" i="26"/>
  <c r="L32" i="26"/>
  <c r="G32" i="26"/>
  <c r="L31" i="26"/>
  <c r="G31" i="26"/>
  <c r="L30" i="26"/>
  <c r="G30" i="26"/>
  <c r="L29" i="26"/>
  <c r="G29" i="26"/>
  <c r="L28" i="26"/>
  <c r="G28" i="26"/>
  <c r="L27" i="26"/>
  <c r="G27" i="26"/>
  <c r="L26" i="26"/>
  <c r="G26" i="26"/>
  <c r="L25" i="26"/>
  <c r="G25" i="26"/>
  <c r="L24" i="26"/>
  <c r="G24" i="26"/>
  <c r="L23" i="26"/>
  <c r="G23" i="26"/>
  <c r="L22" i="26"/>
  <c r="G22" i="26"/>
  <c r="L21" i="26"/>
  <c r="G21" i="26"/>
  <c r="L20" i="26"/>
  <c r="G20" i="26"/>
  <c r="L19" i="26"/>
  <c r="G19" i="26"/>
  <c r="L18" i="26"/>
  <c r="G18" i="26"/>
  <c r="L17" i="26"/>
  <c r="G17" i="26"/>
  <c r="L16" i="26"/>
  <c r="G16" i="26"/>
  <c r="L15" i="26"/>
  <c r="G15" i="26"/>
  <c r="L14" i="26"/>
  <c r="G14" i="26"/>
  <c r="L13" i="26"/>
  <c r="G13" i="26"/>
  <c r="L12" i="26"/>
  <c r="G12" i="26"/>
  <c r="L11" i="26"/>
  <c r="G11" i="26"/>
  <c r="L10" i="26"/>
  <c r="G10" i="26"/>
  <c r="L9" i="26"/>
  <c r="G9" i="26"/>
  <c r="L8" i="26"/>
  <c r="G8" i="26"/>
  <c r="L7" i="26"/>
  <c r="G7" i="26"/>
  <c r="L6" i="26"/>
  <c r="G6" i="26"/>
  <c r="L5" i="26"/>
  <c r="G5" i="26"/>
  <c r="L4" i="26"/>
  <c r="G4" i="26"/>
  <c r="E55" i="20"/>
  <c r="K55" i="20"/>
  <c r="B6" i="22"/>
  <c r="B5" i="22"/>
  <c r="F43" i="27" l="1"/>
  <c r="E15" i="18"/>
  <c r="D44" i="26"/>
  <c r="F44" i="26" s="1"/>
  <c r="G37" i="27"/>
  <c r="D44" i="27"/>
  <c r="F44" i="27" s="1"/>
  <c r="G37" i="26"/>
  <c r="B72" i="21"/>
  <c r="G72" i="21"/>
  <c r="F70" i="21"/>
  <c r="F72" i="21" s="1"/>
  <c r="D70" i="21"/>
  <c r="D72" i="21" s="1"/>
  <c r="F71" i="21"/>
  <c r="B212" i="20" l="1"/>
  <c r="B214" i="20" s="1"/>
  <c r="E74" i="20"/>
  <c r="K74" i="20"/>
  <c r="E54" i="20"/>
  <c r="K54" i="20"/>
  <c r="E56" i="20"/>
  <c r="K56" i="20"/>
  <c r="E58" i="20"/>
  <c r="K58" i="20"/>
  <c r="E59" i="20"/>
  <c r="K59" i="20"/>
  <c r="E66" i="20"/>
  <c r="K66" i="20"/>
  <c r="E67" i="20"/>
  <c r="K67" i="20"/>
  <c r="E68" i="20"/>
  <c r="K68" i="20"/>
  <c r="E69" i="20"/>
  <c r="K69" i="20"/>
  <c r="E70" i="20"/>
  <c r="K70" i="20"/>
  <c r="E71" i="20"/>
  <c r="K71" i="20"/>
  <c r="E72" i="20"/>
  <c r="K72" i="20"/>
  <c r="E73" i="20"/>
  <c r="K73" i="20"/>
  <c r="E50" i="20"/>
  <c r="N50" i="20" s="1"/>
  <c r="K50" i="20"/>
  <c r="N49" i="20"/>
  <c r="E46" i="20"/>
  <c r="N46" i="20" s="1"/>
  <c r="K46" i="20"/>
  <c r="E47" i="20"/>
  <c r="N47" i="20" s="1"/>
  <c r="K47" i="20"/>
  <c r="E49" i="20"/>
  <c r="K49" i="20"/>
  <c r="E51" i="20"/>
  <c r="K51" i="20"/>
  <c r="E52" i="20"/>
  <c r="K52" i="20"/>
  <c r="E53" i="20"/>
  <c r="K53" i="20"/>
  <c r="N44" i="20"/>
  <c r="K44" i="20"/>
  <c r="E44" i="20"/>
  <c r="N36" i="20"/>
  <c r="N37" i="20"/>
  <c r="N35" i="20"/>
  <c r="K8" i="20"/>
  <c r="K4" i="20"/>
  <c r="K6" i="20"/>
  <c r="K7" i="20"/>
  <c r="K10" i="20"/>
  <c r="K11" i="20"/>
  <c r="K12" i="20"/>
  <c r="K13" i="20"/>
  <c r="K14" i="20"/>
  <c r="K15" i="20"/>
  <c r="K16" i="20"/>
  <c r="K17" i="20"/>
  <c r="K18" i="20"/>
  <c r="K19" i="20"/>
  <c r="K20" i="20"/>
  <c r="K21" i="20"/>
  <c r="K22" i="20"/>
  <c r="K23" i="20"/>
  <c r="K24" i="20"/>
  <c r="K25" i="20"/>
  <c r="K26" i="20"/>
  <c r="K27" i="20"/>
  <c r="K28" i="20"/>
  <c r="K29" i="20"/>
  <c r="K30" i="20"/>
  <c r="K31" i="20"/>
  <c r="K32" i="20"/>
  <c r="K33" i="20"/>
  <c r="K34" i="20"/>
  <c r="K35" i="20"/>
  <c r="K36" i="20"/>
  <c r="K37" i="20"/>
  <c r="K38" i="20"/>
  <c r="K39" i="20"/>
  <c r="K40" i="20"/>
  <c r="K41" i="20"/>
  <c r="K42" i="20"/>
  <c r="K43" i="20"/>
  <c r="K45" i="20"/>
  <c r="G5" i="24"/>
  <c r="G6" i="24"/>
  <c r="G11" i="24"/>
  <c r="G13" i="24"/>
  <c r="G14" i="24"/>
  <c r="G4" i="24"/>
  <c r="E33" i="20"/>
  <c r="E34" i="20"/>
  <c r="N34" i="20" s="1"/>
  <c r="E35" i="20"/>
  <c r="E36" i="20"/>
  <c r="E37" i="20"/>
  <c r="E38" i="20"/>
  <c r="N38" i="20" s="1"/>
  <c r="E39" i="20"/>
  <c r="N39" i="20" s="1"/>
  <c r="E40" i="20"/>
  <c r="N40" i="20" s="1"/>
  <c r="E41" i="20"/>
  <c r="N41" i="20" s="1"/>
  <c r="E42" i="20"/>
  <c r="N42" i="20" s="1"/>
  <c r="E43" i="20"/>
  <c r="N43" i="20" s="1"/>
  <c r="E45" i="20"/>
  <c r="N45" i="20" s="1"/>
  <c r="E31" i="20"/>
  <c r="E32" i="20"/>
  <c r="D40" i="23"/>
  <c r="F40" i="23" s="1"/>
  <c r="D39" i="23"/>
  <c r="F39" i="23" s="1"/>
  <c r="Q35" i="23"/>
  <c r="F35" i="23"/>
  <c r="I35" i="23" s="1"/>
  <c r="E35" i="23"/>
  <c r="C6" i="22"/>
  <c r="C5" i="22"/>
  <c r="E30" i="20"/>
  <c r="E29" i="20"/>
  <c r="E28" i="20"/>
  <c r="N27" i="20"/>
  <c r="E27" i="20"/>
  <c r="N26" i="20"/>
  <c r="E26" i="20"/>
  <c r="N25" i="20"/>
  <c r="E25" i="20"/>
  <c r="N24" i="20"/>
  <c r="E24" i="20"/>
  <c r="N23" i="20"/>
  <c r="E23" i="20"/>
  <c r="N22" i="20"/>
  <c r="E22" i="20"/>
  <c r="N21" i="20"/>
  <c r="E21" i="20"/>
  <c r="N20" i="20"/>
  <c r="E20" i="20"/>
  <c r="N19" i="20"/>
  <c r="E19" i="20"/>
  <c r="N18" i="20"/>
  <c r="E18" i="20"/>
  <c r="N17" i="20"/>
  <c r="E17" i="20"/>
  <c r="N16" i="20"/>
  <c r="E16" i="20"/>
  <c r="N15" i="20"/>
  <c r="E15" i="20"/>
  <c r="N14" i="20"/>
  <c r="E14" i="20"/>
  <c r="N13" i="20"/>
  <c r="E13" i="20"/>
  <c r="N12" i="20"/>
  <c r="E12" i="20"/>
  <c r="N11" i="20"/>
  <c r="E11" i="20"/>
  <c r="N10" i="20"/>
  <c r="E10" i="20"/>
  <c r="N8" i="20"/>
  <c r="E8" i="20"/>
  <c r="N7" i="20"/>
  <c r="E7" i="20"/>
  <c r="N6" i="20"/>
  <c r="E6" i="20"/>
  <c r="E5" i="20"/>
  <c r="N4" i="20"/>
  <c r="E4" i="20"/>
  <c r="H35" i="23" l="1"/>
  <c r="K194" i="20"/>
  <c r="B211" i="20" s="1"/>
  <c r="B213" i="20" s="1"/>
  <c r="G61" i="24"/>
  <c r="E194" i="20"/>
  <c r="B205" i="20" s="1"/>
  <c r="N194" i="20"/>
  <c r="B222" i="20" s="1"/>
  <c r="B223" i="20" s="1"/>
  <c r="B67" i="24"/>
  <c r="G35" i="23"/>
  <c r="D41" i="23" s="1"/>
  <c r="F41" i="23" s="1"/>
  <c r="I5" i="22" l="1"/>
  <c r="J5" i="22" s="1"/>
  <c r="B68" i="24"/>
  <c r="B207" i="20"/>
  <c r="F5" i="17"/>
  <c r="E5" i="17"/>
  <c r="G5" i="17" l="1"/>
  <c r="H5" i="17" s="1"/>
  <c r="B206" i="20"/>
  <c r="B208" i="20"/>
  <c r="G34" i="16" l="1"/>
  <c r="D54" i="16" l="1"/>
  <c r="C48" i="16"/>
  <c r="E48" i="16" s="1"/>
  <c r="C47" i="16"/>
  <c r="E47" i="16" s="1"/>
  <c r="C46" i="16"/>
  <c r="E46" i="16" s="1"/>
  <c r="C45" i="16"/>
  <c r="E45" i="16" s="1"/>
  <c r="C43" i="16"/>
  <c r="E43" i="16" s="1"/>
  <c r="C42" i="16"/>
  <c r="E42" i="16" s="1"/>
  <c r="O33" i="16"/>
  <c r="G33" i="16"/>
  <c r="O32" i="16"/>
  <c r="G32" i="16"/>
  <c r="O31" i="16"/>
  <c r="G31" i="16"/>
  <c r="O30" i="16"/>
  <c r="G30" i="16"/>
  <c r="O29" i="16"/>
  <c r="G29" i="16"/>
  <c r="O28" i="16"/>
  <c r="G28" i="16"/>
  <c r="O27" i="16"/>
  <c r="G27" i="16"/>
  <c r="O26" i="16"/>
  <c r="G26" i="16"/>
  <c r="O25" i="16"/>
  <c r="G25" i="16"/>
  <c r="O24" i="16"/>
  <c r="G24" i="16"/>
  <c r="O23" i="16"/>
  <c r="G23" i="16"/>
  <c r="O22" i="16"/>
  <c r="G22" i="16"/>
  <c r="O21" i="16"/>
  <c r="G21" i="16"/>
  <c r="O20" i="16"/>
  <c r="G20" i="16"/>
  <c r="G19" i="16"/>
  <c r="O18" i="16"/>
  <c r="G18" i="16"/>
  <c r="O17" i="16"/>
  <c r="G17" i="16"/>
  <c r="O16" i="16"/>
  <c r="G16" i="16"/>
  <c r="O15" i="16"/>
  <c r="G15" i="16"/>
  <c r="O14" i="16"/>
  <c r="G14" i="16"/>
  <c r="O13" i="16"/>
  <c r="G13" i="16"/>
  <c r="O12" i="16"/>
  <c r="G12" i="16"/>
  <c r="O9" i="16"/>
  <c r="G9" i="16"/>
  <c r="O8" i="16"/>
  <c r="G8" i="16"/>
  <c r="O7" i="16"/>
  <c r="G7" i="16"/>
  <c r="O6" i="16"/>
  <c r="G6" i="16"/>
  <c r="O5" i="16"/>
  <c r="G5" i="16"/>
  <c r="O4" i="16"/>
  <c r="G4" i="16"/>
  <c r="C50" i="4"/>
  <c r="C46" i="4"/>
  <c r="C45" i="4"/>
  <c r="C44" i="4"/>
  <c r="C43" i="4"/>
  <c r="C41" i="4"/>
  <c r="C40" i="4"/>
  <c r="J36" i="4"/>
  <c r="I36" i="4"/>
  <c r="N22" i="4"/>
  <c r="B5" i="18" l="1"/>
  <c r="E40" i="4"/>
  <c r="B6" i="18"/>
  <c r="E41" i="4"/>
  <c r="B8" i="18"/>
  <c r="E43" i="4"/>
  <c r="B11" i="18"/>
  <c r="F6" i="22" s="1"/>
  <c r="G6" i="22" s="1"/>
  <c r="E46" i="4"/>
  <c r="B9" i="18"/>
  <c r="E44" i="4"/>
  <c r="B10" i="18"/>
  <c r="F7" i="22" s="1"/>
  <c r="G7" i="22" s="1"/>
  <c r="E45" i="4"/>
  <c r="E13" i="18"/>
  <c r="G37" i="16"/>
  <c r="B5" i="19"/>
  <c r="H14" i="17"/>
  <c r="J14" i="17" s="1"/>
  <c r="H15" i="17"/>
  <c r="J15" i="17" s="1"/>
  <c r="H12" i="17"/>
  <c r="J12" i="17" s="1"/>
  <c r="H13" i="17"/>
  <c r="J13" i="17" s="1"/>
  <c r="H10" i="17"/>
  <c r="J10" i="17" s="1"/>
  <c r="H9" i="17"/>
  <c r="J9" i="17" s="1"/>
  <c r="B6" i="19"/>
  <c r="E14" i="18"/>
  <c r="C44" i="16"/>
  <c r="E44" i="16" s="1"/>
  <c r="E8" i="18" l="1"/>
  <c r="B18" i="18"/>
  <c r="E9" i="18"/>
  <c r="B19" i="18"/>
  <c r="E6" i="18"/>
  <c r="B16" i="18"/>
  <c r="F5" i="22" s="1"/>
  <c r="G5" i="22" s="1"/>
  <c r="B17" i="18"/>
  <c r="E7" i="18"/>
  <c r="C6" i="19"/>
  <c r="H19" i="17"/>
  <c r="H20" i="17"/>
  <c r="N33" i="4"/>
  <c r="G33" i="4"/>
  <c r="N32" i="4"/>
  <c r="G32" i="4"/>
  <c r="N31" i="4"/>
  <c r="G31" i="4"/>
  <c r="N30" i="4"/>
  <c r="G30" i="4"/>
  <c r="N29" i="4"/>
  <c r="G29" i="4"/>
  <c r="N28" i="4"/>
  <c r="G28" i="4"/>
  <c r="N27" i="4"/>
  <c r="G27" i="4"/>
  <c r="N26" i="4"/>
  <c r="G26" i="4"/>
  <c r="N25" i="4"/>
  <c r="G25" i="4"/>
  <c r="N24" i="4"/>
  <c r="G24" i="4"/>
  <c r="N23" i="4"/>
  <c r="G23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N6" i="4"/>
  <c r="G6" i="4"/>
  <c r="N5" i="4"/>
  <c r="G5" i="4"/>
  <c r="N4" i="4"/>
  <c r="G4" i="4"/>
  <c r="G36" i="4" l="1"/>
  <c r="C42" i="4"/>
  <c r="B7" i="18" l="1"/>
  <c r="E42" i="4"/>
  <c r="C5" i="19"/>
  <c r="H11" i="17"/>
  <c r="J11" i="17" s="1"/>
</calcChain>
</file>

<file path=xl/sharedStrings.xml><?xml version="1.0" encoding="utf-8"?>
<sst xmlns="http://schemas.openxmlformats.org/spreadsheetml/2006/main" count="807" uniqueCount="223">
  <si>
    <t>Data</t>
  </si>
  <si>
    <t>Projeto</t>
  </si>
  <si>
    <t>Equipe</t>
  </si>
  <si>
    <t>Equipamento</t>
  </si>
  <si>
    <t>Horas Totais</t>
  </si>
  <si>
    <t>Horas Trabalhadas</t>
  </si>
  <si>
    <t>Horas Paradas</t>
  </si>
  <si>
    <t>Parada Chuva</t>
  </si>
  <si>
    <t>Parada Mecânica</t>
  </si>
  <si>
    <t>Outros Motivos</t>
  </si>
  <si>
    <t>Motivo / Justificativa</t>
  </si>
  <si>
    <t>Responsável</t>
  </si>
  <si>
    <t>Nº RDO</t>
  </si>
  <si>
    <t>Centro de Custo</t>
  </si>
  <si>
    <t>Observações</t>
  </si>
  <si>
    <t>CONTROLE DE HORAS PARADAS - ABRIL</t>
  </si>
  <si>
    <t>CONTROLE DE HORAS PARADAS - MAIO</t>
  </si>
  <si>
    <t>DASHBOARD - CONTROLE DE HORAS PARADAS</t>
  </si>
  <si>
    <t>Categoria</t>
  </si>
  <si>
    <t>Horas</t>
  </si>
  <si>
    <t>Chuva</t>
  </si>
  <si>
    <t>Tipo</t>
  </si>
  <si>
    <t>TOTAL</t>
  </si>
  <si>
    <t>RESUMO AUTOMÁTICO DE HORAS</t>
  </si>
  <si>
    <t>Total Horas do Projeto</t>
  </si>
  <si>
    <t>dias</t>
  </si>
  <si>
    <t>Total Horas Trabalhadas</t>
  </si>
  <si>
    <t>Total Horas Paradas</t>
  </si>
  <si>
    <t>Total Horas Chuva</t>
  </si>
  <si>
    <t>Total Horas Mecânica</t>
  </si>
  <si>
    <t>H x H no Projeto</t>
  </si>
  <si>
    <t>Mecânica</t>
  </si>
  <si>
    <t>Mês</t>
  </si>
  <si>
    <t>Abril</t>
  </si>
  <si>
    <t>Maio</t>
  </si>
  <si>
    <t>Mensal</t>
  </si>
  <si>
    <t xml:space="preserve">                                                                                                                      RESUMO AUTOMÁTICO DE HORAS</t>
  </si>
  <si>
    <t xml:space="preserve">                      RESUMO AUTOMÁTICO DE HORAS</t>
  </si>
  <si>
    <t>PORCENTAGEM MENSAL DE PRODUTIVIDADE DO PROJETO</t>
  </si>
  <si>
    <t>DIAS - TOTAL GERAL DO PROJETO</t>
  </si>
  <si>
    <t>Termino</t>
  </si>
  <si>
    <t>Inicio</t>
  </si>
  <si>
    <t>Previsto</t>
  </si>
  <si>
    <t>Total Dias Previsto</t>
  </si>
  <si>
    <t>Total Dias Realizados</t>
  </si>
  <si>
    <t>Parada DH-GEL</t>
  </si>
  <si>
    <t>Parada DH_GEL</t>
  </si>
  <si>
    <t>DH-GEL ENGENHARIA</t>
  </si>
  <si>
    <t>Parada DH-GEL ENGENHARIA</t>
  </si>
  <si>
    <t>Total Horas Parc das Artes</t>
  </si>
  <si>
    <t>Total Horas DH-GEL Engenharia</t>
  </si>
  <si>
    <t>Dias Efetivos de Operação</t>
  </si>
  <si>
    <t xml:space="preserve">Dias de Operações </t>
  </si>
  <si>
    <t>Trabalhada</t>
  </si>
  <si>
    <t>Porcentagem de Atraso</t>
  </si>
  <si>
    <t>Administrativo/ Falta de Equipe</t>
  </si>
  <si>
    <t>Mecânica / Eletricista</t>
  </si>
  <si>
    <t>Horas Paradas DH-GEL ENGENHARIA</t>
  </si>
  <si>
    <t>CONTROLE DE PERFURAÇÃO</t>
  </si>
  <si>
    <t>Ferramenta</t>
  </si>
  <si>
    <t>De:</t>
  </si>
  <si>
    <t>Quantidade Metros</t>
  </si>
  <si>
    <t>Horário Inicio</t>
  </si>
  <si>
    <t>Horário Término</t>
  </si>
  <si>
    <t>Diesel S10</t>
  </si>
  <si>
    <t>Diesel S500</t>
  </si>
  <si>
    <t>ver se coloca os equipamentos da DH tambem para fazer contagem de dias parados por problemas de manutenção separado?</t>
  </si>
  <si>
    <t>Planejado</t>
  </si>
  <si>
    <t>Realizado</t>
  </si>
  <si>
    <t>STATUS</t>
  </si>
  <si>
    <t>HORAS - TOTAL DE PARALIZAÇÃO DO PROJETO</t>
  </si>
  <si>
    <t>Dias</t>
  </si>
  <si>
    <t>CONTROLE DE HORAS TRABALHADAS X PARADAS</t>
  </si>
  <si>
    <t>Fornecedor</t>
  </si>
  <si>
    <t>Dias imprevisto</t>
  </si>
  <si>
    <t>Porcentagem %</t>
  </si>
  <si>
    <t>Status</t>
  </si>
  <si>
    <t>Horario Inicial</t>
  </si>
  <si>
    <t>Horario Final</t>
  </si>
  <si>
    <t>Total Horas dia</t>
  </si>
  <si>
    <t>TOTAL DIAS PREVISTO</t>
  </si>
  <si>
    <t>TOTAL DIAS REALIZADOS</t>
  </si>
  <si>
    <t>%</t>
  </si>
  <si>
    <t>Total dias Imprevisto</t>
  </si>
  <si>
    <t>Margem Imprevista</t>
  </si>
  <si>
    <t>De</t>
  </si>
  <si>
    <t>Até</t>
  </si>
  <si>
    <t>Até:</t>
  </si>
  <si>
    <t>Quantidade M Reaberto</t>
  </si>
  <si>
    <t>Perfuração</t>
  </si>
  <si>
    <t>Reabertura</t>
  </si>
  <si>
    <t>Horário de:</t>
  </si>
  <si>
    <t>Horário até:</t>
  </si>
  <si>
    <t>Tempo Reabertura</t>
  </si>
  <si>
    <t>Tempo Perfuração</t>
  </si>
  <si>
    <t>Bentonita</t>
  </si>
  <si>
    <t>CMC</t>
  </si>
  <si>
    <t>Goma Xantana</t>
  </si>
  <si>
    <t>Barilha</t>
  </si>
  <si>
    <t>Hexa T</t>
  </si>
  <si>
    <t>Horimetro Compressor</t>
  </si>
  <si>
    <t>Metros Perfuração</t>
  </si>
  <si>
    <t>Min/Metro</t>
  </si>
  <si>
    <t>Metros Reabertura</t>
  </si>
  <si>
    <t>Tempo total de execução</t>
  </si>
  <si>
    <t>Imprevisto</t>
  </si>
  <si>
    <t>Porcentagem</t>
  </si>
  <si>
    <t>Administrativo</t>
  </si>
  <si>
    <t>Manutenção de Equipamentos</t>
  </si>
  <si>
    <t>Falta de Equipe/Administrativo</t>
  </si>
  <si>
    <t>Goma X</t>
  </si>
  <si>
    <t>Barrilha</t>
  </si>
  <si>
    <t>Quimicos</t>
  </si>
  <si>
    <t xml:space="preserve">                      RESUMO DOS DADOS DE PERFURAÇÃO</t>
  </si>
  <si>
    <t>Dados</t>
  </si>
  <si>
    <t>Finalização Total</t>
  </si>
  <si>
    <t>DASHBOARD - CONTROLE DE PERFURAÇÃO</t>
  </si>
  <si>
    <t>DASHBOARD - CONSUMO DE QUIMICOS</t>
  </si>
  <si>
    <t>DTM</t>
  </si>
  <si>
    <t>Total de Horas DTM</t>
  </si>
  <si>
    <t>Total de Horas Base de concreto</t>
  </si>
  <si>
    <t xml:space="preserve">Tempo de Repasse </t>
  </si>
  <si>
    <t>Base de Concreto</t>
  </si>
  <si>
    <t>Hipoclorito de Sódio (lts)</t>
  </si>
  <si>
    <t>*FAZER TESTE DE PH E DUREZA DA ÁGUA ANTES DE PLANEJAR A QUANTIDADE DE QUÍMICOS, PARA TER UMA ESTIMATIVA MAIS ACERTIVA!</t>
  </si>
  <si>
    <t>Viscosidade</t>
  </si>
  <si>
    <t>PH</t>
  </si>
  <si>
    <t>Soma da barrilha= soda caústica + barrilha</t>
  </si>
  <si>
    <t xml:space="preserve">Observação </t>
  </si>
  <si>
    <t>Repasse</t>
  </si>
  <si>
    <t>Tempo Repasse</t>
  </si>
  <si>
    <t>Óleo de Martelo</t>
  </si>
  <si>
    <t>Sabão de Martelo</t>
  </si>
  <si>
    <t>Total - Manutenção</t>
  </si>
  <si>
    <t>MRV - Reserva Romana</t>
  </si>
  <si>
    <t>Total Horas MRV</t>
  </si>
  <si>
    <t>Junho</t>
  </si>
  <si>
    <t>Fornecimento de Água</t>
  </si>
  <si>
    <t xml:space="preserve">O TEMPO DE REPASSE ENTRA COMO DOWTIME, HORAS QUE PODE SER EVITADAS, ENTRA NO AUMENTO DO CUSTO,UMA DAS CAUSAS DO REPASSE FOI O MARTELO QUE ESTÁ COM A BROCA MAIOR QUE O IDEAL PARA SE TRABALHAR </t>
  </si>
  <si>
    <t>(INFORMAÇÕES PARA SER LANÇADA COMO APRENDIZADO PARA OS PROXIMOS PROJETOS)</t>
  </si>
  <si>
    <t>SANEPAR</t>
  </si>
  <si>
    <t>1 TURNO</t>
  </si>
  <si>
    <t>CARDWELL</t>
  </si>
  <si>
    <t>Concluindo terraplanagem</t>
  </si>
  <si>
    <t>Sanepar</t>
  </si>
  <si>
    <t>Terraplanagem Escavadeira</t>
  </si>
  <si>
    <t>Parada SANEPAR</t>
  </si>
  <si>
    <t>DTM (MOBILIZAÇÃO )</t>
  </si>
  <si>
    <t>DTM (MOBILIZAÇÃO )/ fazendo base de concreto</t>
  </si>
  <si>
    <t>Fazendo base de concreto</t>
  </si>
  <si>
    <t>Terminando base de concreto/ Deslocamento</t>
  </si>
  <si>
    <t>20,5 m³ de concreto</t>
  </si>
  <si>
    <t>DTM / CARREGANDO CARRETA COM EQUIPAMENTOS SONDA CARDWELL</t>
  </si>
  <si>
    <t>DONATO</t>
  </si>
  <si>
    <t>MUNCK</t>
  </si>
  <si>
    <t xml:space="preserve">DTM / CARREGANDO SONDA CARDWELL E MUNCK / INDO PARA SANEPAR </t>
  </si>
  <si>
    <t>Total Horas SANEPAR</t>
  </si>
  <si>
    <t>DESCARREGANDO CONTAINER / 4 HS AGUARDANDO SOLO SECAR P/ O CAMINHÃO ENTRAR NO CANTEIRO</t>
  </si>
  <si>
    <t>RETROESCAVADEIRA</t>
  </si>
  <si>
    <t>RETROESCAVADEIRA CHEGOU NO LOCAL</t>
  </si>
  <si>
    <t xml:space="preserve">SANEPAR </t>
  </si>
  <si>
    <t>DESCARREGANDO E MONTANDO EQUIPAMENTOS/ CASINHA DA SONDA CARDWELL</t>
  </si>
  <si>
    <t>DESCARREGANDO E MONTANDO SONDA CARDWELL</t>
  </si>
  <si>
    <t>PATOLANDO SONDA/LEVANTANDO TORRE/MONTANDO PLATAFORMA DO TORRISTA/SUBINDO MASTRO/MONTANDO SUPORTES DOS BRAÇOS DA TORRE</t>
  </si>
  <si>
    <t>POSICIONANDO BOMBA VULCAN/PREPARAÇÃO DE FLUIDOS/MONTANDO LINHA DE FLUIDO DA BOMBA E FALNGES DA BOMBA CENTRIFUGA</t>
  </si>
  <si>
    <t>PARALIZADO POR MOTIVOS CLIMATICOS</t>
  </si>
  <si>
    <t>POSICIONANDO CAIXA DE FERRO/DESCARREGANDO RESERVATORIO E CONTAINER</t>
  </si>
  <si>
    <t>DESCARREGANDO COMPRESSOR DH E RECEBENDO COMPRESSOR ALUGADO</t>
  </si>
  <si>
    <t>Preparação de canteiro</t>
  </si>
  <si>
    <t>cercando a obra/eletricista fazendo instalação e aterramento da sonda</t>
  </si>
  <si>
    <t>Ø 18" - martelo</t>
  </si>
  <si>
    <t>Perfuração Rotopneumatico</t>
  </si>
  <si>
    <t>Metros Perfuração Rotopneumatico</t>
  </si>
  <si>
    <t>Min/Metro Rotopneumatico</t>
  </si>
  <si>
    <t>Tempo Efeitvo Perfuração Rotopneumatico</t>
  </si>
  <si>
    <t>Dias Rotopneumatico</t>
  </si>
  <si>
    <t xml:space="preserve">Perfuração solo sedimentos </t>
  </si>
  <si>
    <t>Metros Solo sed.</t>
  </si>
  <si>
    <t>min/Metro Solo Sed.</t>
  </si>
  <si>
    <t>Tempo Total Perfuração Rotopneumatico</t>
  </si>
  <si>
    <t>Dias Total Rotopneumatico</t>
  </si>
  <si>
    <t>Tempo Total Perfuração S</t>
  </si>
  <si>
    <t>Dias Solo sed.</t>
  </si>
  <si>
    <t>Goma Xantana não foi prevista no custeio do comercial para orçamento e foi acrescentado pelo Geologo no mapa de suprimentos 300 kg</t>
  </si>
  <si>
    <t>perfurando até 3m da bainha do kelly/ utilizou 400kg de cimento no tubo de boca</t>
  </si>
  <si>
    <t>Soda Caústica</t>
  </si>
  <si>
    <t>633 litros de diesel(qual diesel?)</t>
  </si>
  <si>
    <t>Total Dias Restantes</t>
  </si>
  <si>
    <t>2 TURNO</t>
  </si>
  <si>
    <t>trocou martelo bits de 12", montou com martelo bits de 18"
iniciou perfuração com martelo de 18" perfurando poço de 00 m a 3 metros para testar martelo/40 mil litros de água (4 viagens com caminhão pipa DH)</t>
  </si>
  <si>
    <t>Perfurou de 3 a 31,80 metros/40 mil litros de água (4 viagens com caminhão pipa DH)</t>
  </si>
  <si>
    <t>Perfurou de 31,80 metros a 64 metros/50 mil litros de água (5 viagens com caminhão pipa DH)</t>
  </si>
  <si>
    <t>Perfurou de 64  a 95,5 metros/40 mil litros de água (4 viagens com caminhão pipa DH)</t>
  </si>
  <si>
    <t>Perfurou de 95,50 a 117 metros/50 mil litros de água (5 viagens com caminhão pipa DH)</t>
  </si>
  <si>
    <t>Perfurou de 117 a 147 metros/60 mil litros de Água (6 viagens com caminhão pipa DH)</t>
  </si>
  <si>
    <t>Perfurou de 147 a 176,20 metros/80 mil litros de água (8 viagens com caminhão pipa DH)</t>
  </si>
  <si>
    <t>Aguardando caminhão pipa DH</t>
  </si>
  <si>
    <t>Aguardando Material</t>
  </si>
  <si>
    <t>Total Horas Sanepar</t>
  </si>
  <si>
    <t>Aguardando Diesel</t>
  </si>
  <si>
    <t>Perfurou de 176,20 a 197 metros/60 mil litros de água (6 viagens com caminhão pipa DH)</t>
  </si>
  <si>
    <t>Perfurou de 197 a 211 metros</t>
  </si>
  <si>
    <t>Parou perfuração para retirada do martelo e
 realizar a troca da broca para iniciar o repasse</t>
  </si>
  <si>
    <t>Preparando operação para iniciar o repasse</t>
  </si>
  <si>
    <t>cortando tubo de boca/montando martelo, kelly</t>
  </si>
  <si>
    <t>Trocando cabo do guinchinho, Desmontando sensor do martin decker  
(balança veio quebrado, não tinha realizado manutenção depois que saiu da outra obra)</t>
  </si>
  <si>
    <t>Preparando canteiro, fazendo limpeza do tanque, fazendo os pés de
 apoio do tubo condutor</t>
  </si>
  <si>
    <t>Descarregando munck/ ligação do tubo condutor para peneira/descendo hastes e lavando o poço</t>
  </si>
  <si>
    <t xml:space="preserve">CONTROLE DE QUIMICOS </t>
  </si>
  <si>
    <t>Descarregando bentonita, tirando coluna de hastes do poço/ batendo tanque de lama e montando 
coluna para reabrir a boca do poço</t>
  </si>
  <si>
    <t>Repassando o poço de 3 a 11,52 metros/ descendo comando mais topou mais pra baixo(o que topou mais em baixo?)</t>
  </si>
  <si>
    <t>Repassando</t>
  </si>
  <si>
    <t>Repassando o poço de 11,52 a 20 metros/ desmontando parte do martin deker e tirando parte da coluna</t>
  </si>
  <si>
    <t>Repassando o poço até 34,08/ turno da noite repassou de 23 a 70,91</t>
  </si>
  <si>
    <t>2 turno</t>
  </si>
  <si>
    <t>Trocando graxeta (conjunto grajeta do swivel)</t>
  </si>
  <si>
    <t>Repassando o poço até 120 metros</t>
  </si>
  <si>
    <t xml:space="preserve">Manutenção </t>
  </si>
  <si>
    <t>Parada Sanepar</t>
  </si>
  <si>
    <t>Repassando o poço até 213,30 metros</t>
  </si>
  <si>
    <t>Perfurando até 238,80 metros</t>
  </si>
  <si>
    <t>Ø 17 3/4" - martelo</t>
  </si>
  <si>
    <t>SANEPAR-PARANA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</si>
</sst>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h:mm;@"/>
  </numFmts>
  <fonts count="25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42424"/>
      <name val="Calibri"/>
      <family val="2"/>
      <scheme val="minor"/>
    </font>
    <font>
      <b/>
      <sz val="14"/>
      <color rgb="FFFFFFFF"/>
      <name val="Calibri"/>
      <family val="2"/>
    </font>
    <font>
      <sz val="8"/>
      <name val="Calibri"/>
      <family val="2"/>
      <scheme val="minor"/>
    </font>
    <font>
      <b/>
      <sz val="14"/>
      <name val="Calibri"/>
      <family val="2"/>
    </font>
    <font>
      <b/>
      <sz val="18"/>
      <name val="Calibri"/>
      <family val="2"/>
    </font>
    <font>
      <b/>
      <sz val="1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0"/>
      <name val="Calibri"/>
      <family val="2"/>
    </font>
    <font>
      <b/>
      <sz val="11"/>
      <color theme="3" tint="-0.249977111117893"/>
      <name val="Calibri"/>
      <family val="2"/>
      <scheme val="minor"/>
    </font>
    <font>
      <b/>
      <sz val="11"/>
      <color rgb="FFFF0000"/>
      <name val="Calibri"/>
      <family val="2"/>
    </font>
    <font>
      <sz val="16"/>
      <color theme="1"/>
      <name val="Calibri"/>
      <family val="2"/>
      <scheme val="minor"/>
    </font>
    <font>
      <sz val="11"/>
      <name val="Calibri"/>
      <family val="2"/>
    </font>
    <font>
      <sz val="9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0F243E"/>
        <bgColor rgb="FF0F243E"/>
      </patternFill>
    </fill>
    <fill>
      <patternFill patternType="solid">
        <fgColor rgb="FF1F4E78"/>
        <bgColor rgb="FF1F4E7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rgb="FFD9EAF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rgb="FF1F4E78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rgb="FF1F4E78"/>
      </patternFill>
    </fill>
    <fill>
      <patternFill patternType="solid">
        <fgColor theme="0" tint="-0.14999847407452621"/>
        <bgColor rgb="FF0F243E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-0.499984740745262"/>
        <bgColor rgb="FF808080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1"/>
        <bgColor rgb="FFD9EAF7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2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20" fontId="0" fillId="0" borderId="1" xfId="0" applyNumberFormat="1" applyBorder="1"/>
    <xf numFmtId="164" fontId="2" fillId="3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/>
    <xf numFmtId="164" fontId="0" fillId="0" borderId="0" xfId="0" applyNumberFormat="1"/>
    <xf numFmtId="0" fontId="0" fillId="4" borderId="1" xfId="0" applyFill="1" applyBorder="1"/>
    <xf numFmtId="0" fontId="0" fillId="5" borderId="1" xfId="0" applyFill="1" applyBorder="1"/>
    <xf numFmtId="164" fontId="0" fillId="5" borderId="1" xfId="0" applyNumberFormat="1" applyFill="1" applyBorder="1"/>
    <xf numFmtId="164" fontId="5" fillId="6" borderId="1" xfId="0" applyNumberFormat="1" applyFont="1" applyFill="1" applyBorder="1"/>
    <xf numFmtId="0" fontId="10" fillId="0" borderId="0" xfId="0" applyFont="1"/>
    <xf numFmtId="20" fontId="0" fillId="5" borderId="1" xfId="0" applyNumberFormat="1" applyFill="1" applyBorder="1"/>
    <xf numFmtId="164" fontId="3" fillId="0" borderId="1" xfId="0" applyNumberFormat="1" applyFont="1" applyBorder="1"/>
    <xf numFmtId="164" fontId="3" fillId="0" borderId="0" xfId="0" applyNumberFormat="1" applyFont="1"/>
    <xf numFmtId="164" fontId="5" fillId="0" borderId="0" xfId="0" applyNumberFormat="1" applyFont="1"/>
    <xf numFmtId="20" fontId="0" fillId="0" borderId="0" xfId="0" applyNumberFormat="1"/>
    <xf numFmtId="14" fontId="0" fillId="7" borderId="1" xfId="0" applyNumberFormat="1" applyFill="1" applyBorder="1"/>
    <xf numFmtId="0" fontId="0" fillId="7" borderId="1" xfId="0" applyFill="1" applyBorder="1"/>
    <xf numFmtId="164" fontId="0" fillId="7" borderId="1" xfId="0" applyNumberFormat="1" applyFill="1" applyBorder="1"/>
    <xf numFmtId="14" fontId="0" fillId="8" borderId="1" xfId="0" applyNumberFormat="1" applyFill="1" applyBorder="1"/>
    <xf numFmtId="0" fontId="0" fillId="8" borderId="1" xfId="0" applyFill="1" applyBorder="1"/>
    <xf numFmtId="164" fontId="0" fillId="8" borderId="1" xfId="0" applyNumberFormat="1" applyFill="1" applyBorder="1"/>
    <xf numFmtId="0" fontId="0" fillId="8" borderId="0" xfId="0" applyFill="1"/>
    <xf numFmtId="0" fontId="0" fillId="9" borderId="0" xfId="0" applyFill="1"/>
    <xf numFmtId="164" fontId="0" fillId="9" borderId="0" xfId="0" applyNumberFormat="1" applyFill="1"/>
    <xf numFmtId="0" fontId="13" fillId="9" borderId="0" xfId="0" applyFont="1" applyFill="1"/>
    <xf numFmtId="0" fontId="3" fillId="10" borderId="0" xfId="0" applyFont="1" applyFill="1"/>
    <xf numFmtId="0" fontId="0" fillId="11" borderId="0" xfId="0" applyFill="1"/>
    <xf numFmtId="164" fontId="9" fillId="9" borderId="0" xfId="0" applyNumberFormat="1" applyFont="1" applyFill="1"/>
    <xf numFmtId="0" fontId="7" fillId="9" borderId="0" xfId="0" applyFont="1" applyFill="1"/>
    <xf numFmtId="164" fontId="7" fillId="9" borderId="0" xfId="0" applyNumberFormat="1" applyFont="1" applyFill="1"/>
    <xf numFmtId="14" fontId="7" fillId="9" borderId="0" xfId="0" applyNumberFormat="1" applyFont="1" applyFill="1"/>
    <xf numFmtId="0" fontId="6" fillId="11" borderId="0" xfId="0" applyFont="1" applyFill="1"/>
    <xf numFmtId="0" fontId="3" fillId="14" borderId="0" xfId="0" applyFont="1" applyFill="1" applyAlignment="1">
      <alignment horizontal="center"/>
    </xf>
    <xf numFmtId="164" fontId="3" fillId="14" borderId="0" xfId="0" applyNumberFormat="1" applyFont="1" applyFill="1" applyAlignment="1">
      <alignment horizontal="center"/>
    </xf>
    <xf numFmtId="0" fontId="6" fillId="13" borderId="0" xfId="0" applyFont="1" applyFill="1"/>
    <xf numFmtId="0" fontId="3" fillId="12" borderId="0" xfId="0" applyFont="1" applyFill="1" applyAlignment="1">
      <alignment horizontal="center"/>
    </xf>
    <xf numFmtId="164" fontId="3" fillId="12" borderId="0" xfId="0" applyNumberFormat="1" applyFont="1" applyFill="1" applyAlignment="1">
      <alignment horizontal="center"/>
    </xf>
    <xf numFmtId="164" fontId="6" fillId="11" borderId="0" xfId="0" applyNumberFormat="1" applyFont="1" applyFill="1"/>
    <xf numFmtId="0" fontId="15" fillId="11" borderId="0" xfId="0" applyFont="1" applyFill="1"/>
    <xf numFmtId="164" fontId="15" fillId="11" borderId="0" xfId="0" applyNumberFormat="1" applyFont="1" applyFill="1"/>
    <xf numFmtId="0" fontId="6" fillId="9" borderId="0" xfId="0" applyFont="1" applyFill="1"/>
    <xf numFmtId="0" fontId="0" fillId="16" borderId="0" xfId="0" applyFill="1"/>
    <xf numFmtId="0" fontId="8" fillId="16" borderId="0" xfId="0" applyFont="1" applyFill="1" applyAlignment="1">
      <alignment horizontal="center" vertical="center"/>
    </xf>
    <xf numFmtId="2" fontId="0" fillId="11" borderId="0" xfId="0" applyNumberFormat="1" applyFill="1"/>
    <xf numFmtId="10" fontId="7" fillId="9" borderId="0" xfId="0" applyNumberFormat="1" applyFont="1" applyFill="1"/>
    <xf numFmtId="0" fontId="3" fillId="19" borderId="0" xfId="0" applyFont="1" applyFill="1"/>
    <xf numFmtId="164" fontId="6" fillId="9" borderId="0" xfId="0" applyNumberFormat="1" applyFont="1" applyFill="1"/>
    <xf numFmtId="0" fontId="0" fillId="18" borderId="0" xfId="0" applyFill="1"/>
    <xf numFmtId="0" fontId="0" fillId="13" borderId="0" xfId="0" applyFill="1"/>
    <xf numFmtId="0" fontId="2" fillId="3" borderId="2" xfId="0" applyFont="1" applyFill="1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18" fillId="0" borderId="0" xfId="0" applyFont="1" applyAlignment="1">
      <alignment horizontal="center"/>
    </xf>
    <xf numFmtId="2" fontId="0" fillId="0" borderId="0" xfId="0" applyNumberFormat="1"/>
    <xf numFmtId="2" fontId="0" fillId="0" borderId="3" xfId="0" applyNumberFormat="1" applyBorder="1"/>
    <xf numFmtId="0" fontId="0" fillId="0" borderId="3" xfId="0" applyBorder="1"/>
    <xf numFmtId="2" fontId="0" fillId="0" borderId="1" xfId="0" applyNumberFormat="1" applyBorder="1"/>
    <xf numFmtId="0" fontId="6" fillId="0" borderId="0" xfId="0" applyFont="1"/>
    <xf numFmtId="0" fontId="6" fillId="0" borderId="1" xfId="0" applyFont="1" applyBorder="1"/>
    <xf numFmtId="0" fontId="17" fillId="6" borderId="0" xfId="0" applyFont="1" applyFill="1"/>
    <xf numFmtId="164" fontId="17" fillId="6" borderId="0" xfId="0" applyNumberFormat="1" applyFont="1" applyFill="1"/>
    <xf numFmtId="0" fontId="5" fillId="6" borderId="0" xfId="0" applyFont="1" applyFill="1"/>
    <xf numFmtId="10" fontId="0" fillId="0" borderId="1" xfId="0" applyNumberFormat="1" applyBorder="1"/>
    <xf numFmtId="14" fontId="6" fillId="0" borderId="1" xfId="0" applyNumberFormat="1" applyFont="1" applyBorder="1"/>
    <xf numFmtId="10" fontId="6" fillId="0" borderId="1" xfId="0" applyNumberFormat="1" applyFont="1" applyBorder="1"/>
    <xf numFmtId="164" fontId="6" fillId="0" borderId="1" xfId="0" applyNumberFormat="1" applyFont="1" applyBorder="1"/>
    <xf numFmtId="0" fontId="8" fillId="9" borderId="0" xfId="0" applyFont="1" applyFill="1"/>
    <xf numFmtId="164" fontId="8" fillId="9" borderId="0" xfId="0" applyNumberFormat="1" applyFont="1" applyFill="1"/>
    <xf numFmtId="164" fontId="0" fillId="11" borderId="0" xfId="0" applyNumberFormat="1" applyFill="1"/>
    <xf numFmtId="0" fontId="7" fillId="11" borderId="0" xfId="0" applyFont="1" applyFill="1"/>
    <xf numFmtId="0" fontId="8" fillId="11" borderId="0" xfId="0" applyFont="1" applyFill="1"/>
    <xf numFmtId="2" fontId="0" fillId="9" borderId="0" xfId="0" applyNumberFormat="1" applyFill="1"/>
    <xf numFmtId="0" fontId="15" fillId="9" borderId="0" xfId="0" applyFont="1" applyFill="1"/>
    <xf numFmtId="164" fontId="15" fillId="9" borderId="0" xfId="0" applyNumberFormat="1" applyFont="1" applyFill="1"/>
    <xf numFmtId="0" fontId="2" fillId="3" borderId="0" xfId="0" applyFont="1" applyFill="1" applyAlignment="1">
      <alignment horizontal="center" vertical="center" wrapText="1"/>
    </xf>
    <xf numFmtId="20" fontId="6" fillId="0" borderId="1" xfId="0" applyNumberFormat="1" applyFont="1" applyBorder="1"/>
    <xf numFmtId="20" fontId="6" fillId="0" borderId="0" xfId="0" applyNumberFormat="1" applyFont="1"/>
    <xf numFmtId="164" fontId="0" fillId="11" borderId="1" xfId="0" applyNumberFormat="1" applyFill="1" applyBorder="1"/>
    <xf numFmtId="10" fontId="0" fillId="11" borderId="1" xfId="0" applyNumberFormat="1" applyFill="1" applyBorder="1"/>
    <xf numFmtId="164" fontId="8" fillId="11" borderId="1" xfId="0" applyNumberFormat="1" applyFont="1" applyFill="1" applyBorder="1"/>
    <xf numFmtId="20" fontId="0" fillId="11" borderId="0" xfId="0" applyNumberFormat="1" applyFill="1"/>
    <xf numFmtId="0" fontId="0" fillId="11" borderId="1" xfId="0" applyFill="1" applyBorder="1"/>
    <xf numFmtId="0" fontId="5" fillId="11" borderId="1" xfId="0" applyFont="1" applyFill="1" applyBorder="1"/>
    <xf numFmtId="10" fontId="5" fillId="11" borderId="1" xfId="0" applyNumberFormat="1" applyFont="1" applyFill="1" applyBorder="1"/>
    <xf numFmtId="164" fontId="19" fillId="3" borderId="1" xfId="0" applyNumberFormat="1" applyFont="1" applyFill="1" applyBorder="1" applyAlignment="1">
      <alignment horizontal="center" vertical="center" wrapText="1"/>
    </xf>
    <xf numFmtId="164" fontId="16" fillId="0" borderId="1" xfId="0" applyNumberFormat="1" applyFont="1" applyBorder="1"/>
    <xf numFmtId="164" fontId="5" fillId="0" borderId="1" xfId="0" applyNumberFormat="1" applyFont="1" applyBorder="1"/>
    <xf numFmtId="164" fontId="16" fillId="20" borderId="1" xfId="0" applyNumberFormat="1" applyFont="1" applyFill="1" applyBorder="1"/>
    <xf numFmtId="164" fontId="5" fillId="20" borderId="1" xfId="0" applyNumberFormat="1" applyFont="1" applyFill="1" applyBorder="1"/>
    <xf numFmtId="164" fontId="17" fillId="0" borderId="0" xfId="0" applyNumberFormat="1" applyFont="1"/>
    <xf numFmtId="164" fontId="16" fillId="0" borderId="0" xfId="0" applyNumberFormat="1" applyFont="1"/>
    <xf numFmtId="164" fontId="16" fillId="0" borderId="1" xfId="0" applyNumberFormat="1" applyFont="1" applyBorder="1" applyAlignment="1">
      <alignment horizontal="right"/>
    </xf>
    <xf numFmtId="0" fontId="0" fillId="0" borderId="0" xfId="0" quotePrefix="1"/>
    <xf numFmtId="165" fontId="0" fillId="0" borderId="1" xfId="0" applyNumberFormat="1" applyBorder="1"/>
    <xf numFmtId="165" fontId="0" fillId="0" borderId="0" xfId="0" applyNumberFormat="1"/>
    <xf numFmtId="165" fontId="0" fillId="0" borderId="3" xfId="0" applyNumberFormat="1" applyBorder="1"/>
    <xf numFmtId="165" fontId="16" fillId="0" borderId="1" xfId="0" applyNumberFormat="1" applyFont="1" applyBorder="1"/>
    <xf numFmtId="165" fontId="16" fillId="20" borderId="1" xfId="0" applyNumberFormat="1" applyFont="1" applyFill="1" applyBorder="1"/>
    <xf numFmtId="164" fontId="5" fillId="0" borderId="3" xfId="0" applyNumberFormat="1" applyFont="1" applyBorder="1"/>
    <xf numFmtId="2" fontId="5" fillId="0" borderId="0" xfId="0" applyNumberFormat="1" applyFont="1"/>
    <xf numFmtId="2" fontId="5" fillId="0" borderId="3" xfId="0" applyNumberFormat="1" applyFont="1" applyBorder="1"/>
    <xf numFmtId="2" fontId="5" fillId="0" borderId="1" xfId="0" applyNumberFormat="1" applyFont="1" applyBorder="1"/>
    <xf numFmtId="2" fontId="5" fillId="13" borderId="1" xfId="0" applyNumberFormat="1" applyFont="1" applyFill="1" applyBorder="1"/>
    <xf numFmtId="2" fontId="19" fillId="3" borderId="2" xfId="0" applyNumberFormat="1" applyFont="1" applyFill="1" applyBorder="1" applyAlignment="1">
      <alignment horizontal="center" vertical="center" wrapText="1"/>
    </xf>
    <xf numFmtId="2" fontId="20" fillId="0" borderId="0" xfId="0" applyNumberFormat="1" applyFont="1"/>
    <xf numFmtId="2" fontId="20" fillId="0" borderId="3" xfId="0" applyNumberFormat="1" applyFont="1" applyBorder="1"/>
    <xf numFmtId="2" fontId="20" fillId="0" borderId="1" xfId="0" applyNumberFormat="1" applyFont="1" applyBorder="1"/>
    <xf numFmtId="2" fontId="20" fillId="13" borderId="1" xfId="0" applyNumberFormat="1" applyFont="1" applyFill="1" applyBorder="1"/>
    <xf numFmtId="164" fontId="20" fillId="0" borderId="0" xfId="0" applyNumberFormat="1" applyFont="1"/>
    <xf numFmtId="164" fontId="20" fillId="0" borderId="1" xfId="0" applyNumberFormat="1" applyFont="1" applyBorder="1"/>
    <xf numFmtId="0" fontId="20" fillId="0" borderId="1" xfId="0" applyFont="1" applyBorder="1"/>
    <xf numFmtId="2" fontId="21" fillId="3" borderId="2" xfId="0" applyNumberFormat="1" applyFont="1" applyFill="1" applyBorder="1" applyAlignment="1">
      <alignment horizontal="center" vertical="center" wrapText="1"/>
    </xf>
    <xf numFmtId="0" fontId="5" fillId="0" borderId="1" xfId="0" applyFont="1" applyBorder="1"/>
    <xf numFmtId="164" fontId="19" fillId="3" borderId="2" xfId="0" applyNumberFormat="1" applyFont="1" applyFill="1" applyBorder="1" applyAlignment="1">
      <alignment horizontal="center" vertical="center" wrapText="1"/>
    </xf>
    <xf numFmtId="164" fontId="5" fillId="13" borderId="1" xfId="0" applyNumberFormat="1" applyFont="1" applyFill="1" applyBorder="1"/>
    <xf numFmtId="164" fontId="8" fillId="13" borderId="1" xfId="0" applyNumberFormat="1" applyFont="1" applyFill="1" applyBorder="1"/>
    <xf numFmtId="2" fontId="8" fillId="0" borderId="1" xfId="0" applyNumberFormat="1" applyFont="1" applyBorder="1"/>
    <xf numFmtId="2" fontId="8" fillId="13" borderId="1" xfId="0" applyNumberFormat="1" applyFont="1" applyFill="1" applyBorder="1"/>
    <xf numFmtId="14" fontId="8" fillId="0" borderId="1" xfId="0" applyNumberFormat="1" applyFont="1" applyBorder="1"/>
    <xf numFmtId="3" fontId="10" fillId="11" borderId="0" xfId="0" applyNumberFormat="1" applyFont="1" applyFill="1"/>
    <xf numFmtId="10" fontId="0" fillId="11" borderId="0" xfId="0" applyNumberFormat="1" applyFill="1"/>
    <xf numFmtId="164" fontId="8" fillId="0" borderId="0" xfId="0" applyNumberFormat="1" applyFont="1"/>
    <xf numFmtId="0" fontId="8" fillId="21" borderId="0" xfId="0" applyFont="1" applyFill="1"/>
    <xf numFmtId="0" fontId="5" fillId="21" borderId="0" xfId="0" applyFont="1" applyFill="1" applyAlignment="1">
      <alignment horizontal="right"/>
    </xf>
    <xf numFmtId="164" fontId="8" fillId="11" borderId="0" xfId="0" applyNumberFormat="1" applyFont="1" applyFill="1"/>
    <xf numFmtId="164" fontId="8" fillId="0" borderId="0" xfId="0" applyNumberFormat="1" applyFont="1" applyAlignment="1">
      <alignment horizontal="center"/>
    </xf>
    <xf numFmtId="14" fontId="8" fillId="0" borderId="0" xfId="0" applyNumberFormat="1" applyFont="1"/>
    <xf numFmtId="2" fontId="17" fillId="0" borderId="0" xfId="0" applyNumberFormat="1" applyFont="1"/>
    <xf numFmtId="0" fontId="17" fillId="0" borderId="0" xfId="0" applyFont="1"/>
    <xf numFmtId="0" fontId="5" fillId="0" borderId="0" xfId="0" applyFont="1"/>
    <xf numFmtId="0" fontId="8" fillId="0" borderId="0" xfId="0" applyFont="1"/>
    <xf numFmtId="2" fontId="6" fillId="0" borderId="0" xfId="0" applyNumberFormat="1" applyFont="1"/>
    <xf numFmtId="0" fontId="0" fillId="0" borderId="0" xfId="0" applyAlignment="1">
      <alignment wrapText="1"/>
    </xf>
    <xf numFmtId="164" fontId="0" fillId="6" borderId="0" xfId="0" applyNumberFormat="1" applyFill="1"/>
    <xf numFmtId="0" fontId="5" fillId="6" borderId="1" xfId="0" applyFont="1" applyFill="1" applyBorder="1"/>
    <xf numFmtId="164" fontId="5" fillId="6" borderId="0" xfId="0" applyNumberFormat="1" applyFont="1" applyFill="1"/>
    <xf numFmtId="0" fontId="0" fillId="0" borderId="1" xfId="0" applyBorder="1" applyAlignment="1">
      <alignment wrapText="1"/>
    </xf>
    <xf numFmtId="14" fontId="0" fillId="4" borderId="1" xfId="0" applyNumberFormat="1" applyFill="1" applyBorder="1"/>
    <xf numFmtId="0" fontId="0" fillId="4" borderId="0" xfId="0" applyFill="1"/>
    <xf numFmtId="2" fontId="0" fillId="0" borderId="4" xfId="0" applyNumberFormat="1" applyBorder="1"/>
    <xf numFmtId="2" fontId="0" fillId="0" borderId="5" xfId="0" applyNumberFormat="1" applyBorder="1"/>
    <xf numFmtId="165" fontId="0" fillId="0" borderId="5" xfId="0" applyNumberFormat="1" applyBorder="1"/>
    <xf numFmtId="164" fontId="5" fillId="0" borderId="4" xfId="0" applyNumberFormat="1" applyFont="1" applyBorder="1"/>
    <xf numFmtId="0" fontId="6" fillId="20" borderId="0" xfId="0" applyFont="1" applyFill="1"/>
    <xf numFmtId="0" fontId="2" fillId="0" borderId="1" xfId="0" applyFont="1" applyBorder="1" applyAlignment="1">
      <alignment horizontal="center" vertical="center" wrapText="1"/>
    </xf>
    <xf numFmtId="14" fontId="2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164" fontId="0" fillId="13" borderId="1" xfId="0" applyNumberFormat="1" applyFill="1" applyBorder="1"/>
    <xf numFmtId="0" fontId="0" fillId="13" borderId="1" xfId="0" applyFill="1" applyBorder="1"/>
    <xf numFmtId="20" fontId="0" fillId="13" borderId="1" xfId="0" applyNumberFormat="1" applyFill="1" applyBorder="1"/>
    <xf numFmtId="0" fontId="0" fillId="22" borderId="1" xfId="0" applyFill="1" applyBorder="1"/>
    <xf numFmtId="164" fontId="0" fillId="22" borderId="1" xfId="0" applyNumberFormat="1" applyFill="1" applyBorder="1"/>
    <xf numFmtId="164" fontId="5" fillId="11" borderId="1" xfId="0" applyNumberFormat="1" applyFont="1" applyFill="1" applyBorder="1"/>
    <xf numFmtId="164" fontId="5" fillId="22" borderId="1" xfId="0" applyNumberFormat="1" applyFont="1" applyFill="1" applyBorder="1"/>
    <xf numFmtId="164" fontId="15" fillId="0" borderId="1" xfId="0" applyNumberFormat="1" applyFont="1" applyBorder="1"/>
    <xf numFmtId="0" fontId="0" fillId="6" borderId="0" xfId="0" applyFill="1"/>
    <xf numFmtId="0" fontId="0" fillId="6" borderId="1" xfId="0" applyFill="1" applyBorder="1"/>
    <xf numFmtId="2" fontId="5" fillId="6" borderId="0" xfId="0" applyNumberFormat="1" applyFont="1" applyFill="1"/>
    <xf numFmtId="2" fontId="5" fillId="6" borderId="1" xfId="0" applyNumberFormat="1" applyFont="1" applyFill="1" applyBorder="1"/>
    <xf numFmtId="164" fontId="5" fillId="6" borderId="2" xfId="0" applyNumberFormat="1" applyFont="1" applyFill="1" applyBorder="1"/>
    <xf numFmtId="14" fontId="0" fillId="11" borderId="1" xfId="0" applyNumberFormat="1" applyFill="1" applyBorder="1"/>
    <xf numFmtId="164" fontId="0" fillId="4" borderId="1" xfId="0" applyNumberFormat="1" applyFill="1" applyBorder="1"/>
    <xf numFmtId="20" fontId="0" fillId="4" borderId="1" xfId="0" applyNumberFormat="1" applyFill="1" applyBorder="1"/>
    <xf numFmtId="0" fontId="24" fillId="0" borderId="1" xfId="0" applyFont="1" applyBorder="1"/>
    <xf numFmtId="0" fontId="24" fillId="4" borderId="1" xfId="0" applyFont="1" applyFill="1" applyBorder="1"/>
    <xf numFmtId="2" fontId="8" fillId="0" borderId="0" xfId="0" applyNumberFormat="1" applyFont="1"/>
    <xf numFmtId="2" fontId="8" fillId="11" borderId="0" xfId="0" applyNumberFormat="1" applyFont="1" applyFill="1"/>
    <xf numFmtId="2" fontId="0" fillId="11" borderId="1" xfId="0" applyNumberFormat="1" applyFill="1" applyBorder="1"/>
    <xf numFmtId="164" fontId="8" fillId="0" borderId="1" xfId="0" applyNumberFormat="1" applyFont="1" applyBorder="1"/>
    <xf numFmtId="164" fontId="8" fillId="6" borderId="0" xfId="0" applyNumberFormat="1" applyFont="1" applyFill="1"/>
    <xf numFmtId="0" fontId="8" fillId="0" borderId="1" xfId="0" applyFont="1" applyBorder="1"/>
    <xf numFmtId="0" fontId="0" fillId="23" borderId="1" xfId="0" applyFill="1" applyBorder="1"/>
    <xf numFmtId="14" fontId="0" fillId="23" borderId="1" xfId="0" applyNumberFormat="1" applyFill="1" applyBorder="1"/>
    <xf numFmtId="0" fontId="18" fillId="23" borderId="0" xfId="0" applyFont="1" applyFill="1" applyAlignment="1">
      <alignment horizontal="center"/>
    </xf>
    <xf numFmtId="2" fontId="0" fillId="23" borderId="1" xfId="0" applyNumberFormat="1" applyFill="1" applyBorder="1"/>
    <xf numFmtId="2" fontId="20" fillId="23" borderId="1" xfId="0" applyNumberFormat="1" applyFont="1" applyFill="1" applyBorder="1"/>
    <xf numFmtId="2" fontId="5" fillId="23" borderId="1" xfId="0" applyNumberFormat="1" applyFont="1" applyFill="1" applyBorder="1"/>
    <xf numFmtId="165" fontId="0" fillId="23" borderId="1" xfId="0" applyNumberFormat="1" applyFill="1" applyBorder="1"/>
    <xf numFmtId="164" fontId="20" fillId="23" borderId="1" xfId="0" applyNumberFormat="1" applyFont="1" applyFill="1" applyBorder="1"/>
    <xf numFmtId="164" fontId="5" fillId="23" borderId="1" xfId="0" applyNumberFormat="1" applyFont="1" applyFill="1" applyBorder="1"/>
    <xf numFmtId="0" fontId="0" fillId="23" borderId="0" xfId="0" applyFill="1"/>
    <xf numFmtId="0" fontId="18" fillId="4" borderId="0" xfId="0" applyFont="1" applyFill="1" applyAlignment="1">
      <alignment horizontal="center"/>
    </xf>
    <xf numFmtId="2" fontId="0" fillId="4" borderId="1" xfId="0" applyNumberFormat="1" applyFill="1" applyBorder="1"/>
    <xf numFmtId="2" fontId="20" fillId="4" borderId="1" xfId="0" applyNumberFormat="1" applyFont="1" applyFill="1" applyBorder="1"/>
    <xf numFmtId="2" fontId="5" fillId="4" borderId="1" xfId="0" applyNumberFormat="1" applyFont="1" applyFill="1" applyBorder="1"/>
    <xf numFmtId="165" fontId="0" fillId="4" borderId="1" xfId="0" applyNumberFormat="1" applyFill="1" applyBorder="1"/>
    <xf numFmtId="164" fontId="20" fillId="4" borderId="1" xfId="0" applyNumberFormat="1" applyFont="1" applyFill="1" applyBorder="1"/>
    <xf numFmtId="164" fontId="5" fillId="4" borderId="1" xfId="0" applyNumberFormat="1" applyFont="1" applyFill="1" applyBorder="1"/>
    <xf numFmtId="0" fontId="6" fillId="4" borderId="0" xfId="0" applyFont="1" applyFill="1"/>
    <xf numFmtId="14" fontId="6" fillId="11" borderId="0" xfId="0" applyNumberFormat="1" applyFont="1" applyFill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1" fillId="17" borderId="0" xfId="0" applyFont="1" applyFill="1" applyAlignment="1">
      <alignment horizontal="center"/>
    </xf>
    <xf numFmtId="0" fontId="0" fillId="18" borderId="0" xfId="0" applyFill="1"/>
    <xf numFmtId="0" fontId="11" fillId="17" borderId="0" xfId="0" applyFont="1" applyFill="1" applyAlignment="1">
      <alignment horizontal="left"/>
    </xf>
    <xf numFmtId="0" fontId="0" fillId="18" borderId="0" xfId="0" applyFill="1" applyAlignment="1">
      <alignment horizontal="left"/>
    </xf>
    <xf numFmtId="0" fontId="1" fillId="17" borderId="0" xfId="0" applyFont="1" applyFill="1" applyAlignment="1">
      <alignment horizontal="center"/>
    </xf>
    <xf numFmtId="0" fontId="22" fillId="18" borderId="0" xfId="0" applyFont="1" applyFill="1"/>
    <xf numFmtId="0" fontId="14" fillId="15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/>
    </xf>
    <xf numFmtId="0" fontId="4" fillId="14" borderId="0" xfId="0" applyFont="1" applyFill="1" applyAlignment="1">
      <alignment horizontal="center"/>
    </xf>
    <xf numFmtId="0" fontId="15" fillId="11" borderId="0" xfId="0" applyFont="1" applyFill="1"/>
    <xf numFmtId="0" fontId="4" fillId="12" borderId="0" xfId="0" applyFont="1" applyFill="1" applyAlignment="1">
      <alignment horizontal="center"/>
    </xf>
    <xf numFmtId="0" fontId="6" fillId="13" borderId="0" xfId="0" applyFont="1" applyFill="1"/>
    <xf numFmtId="0" fontId="6" fillId="11" borderId="0" xfId="0" applyFont="1" applyFill="1"/>
    <xf numFmtId="14" fontId="0" fillId="0" borderId="1" xfId="0" applyNumberFormat="1" applyFill="1" applyBorder="1"/>
    <xf numFmtId="0" fontId="18" fillId="0" borderId="0" xfId="0" applyFont="1" applyFill="1" applyAlignment="1">
      <alignment horizontal="center"/>
    </xf>
    <xf numFmtId="2" fontId="0" fillId="0" borderId="1" xfId="0" applyNumberFormat="1" applyFill="1" applyBorder="1"/>
    <xf numFmtId="2" fontId="20" fillId="0" borderId="1" xfId="0" applyNumberFormat="1" applyFont="1" applyFill="1" applyBorder="1"/>
    <xf numFmtId="2" fontId="5" fillId="0" borderId="1" xfId="0" applyNumberFormat="1" applyFont="1" applyFill="1" applyBorder="1"/>
    <xf numFmtId="165" fontId="0" fillId="0" borderId="1" xfId="0" applyNumberFormat="1" applyFill="1" applyBorder="1"/>
    <xf numFmtId="164" fontId="20" fillId="0" borderId="1" xfId="0" applyNumberFormat="1" applyFont="1" applyFill="1" applyBorder="1"/>
    <xf numFmtId="164" fontId="5" fillId="0" borderId="1" xfId="0" applyNumberFormat="1" applyFont="1" applyFill="1" applyBorder="1"/>
    <xf numFmtId="0" fontId="0" fillId="0" borderId="1" xfId="0" applyFill="1" applyBorder="1"/>
    <xf numFmtId="0" fontId="0" fillId="0" borderId="0" xfId="0" applyFill="1"/>
    <xf numFmtId="0" fontId="6" fillId="0" borderId="0" xfId="0" applyFont="1" applyFill="1"/>
  </cellXfs>
  <cellStyles count="1">
    <cellStyle name="Normal" xfId="0" builtinId="0"/>
  </cellStyles>
  <dxfs count="69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numFmt numFmtId="25" formatCode="hh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  <border outline="0">
        <left style="thin">
          <color rgb="FFD9D9D9"/>
        </left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numFmt numFmtId="0" formatCode="General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numFmt numFmtId="164" formatCode="[h]:mm"/>
    </dxf>
    <dxf>
      <numFmt numFmtId="164" formatCode="[h]:mm"/>
    </dxf>
    <dxf>
      <numFmt numFmtId="164" formatCode="[h]:mm"/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rgb="FFFF0000"/>
        <name val="Calibri"/>
        <family val="2"/>
      </font>
      <numFmt numFmtId="164" formatCode="[h]:mm"/>
    </dxf>
    <dxf>
      <font>
        <b/>
        <strike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numFmt numFmtId="165" formatCode="h:mm;@"/>
    </dxf>
    <dxf>
      <font>
        <b/>
        <strike val="0"/>
        <outline val="0"/>
        <shadow val="0"/>
        <u val="none"/>
        <vertAlign val="baseline"/>
        <sz val="11"/>
        <color theme="3"/>
        <name val="Calibri"/>
        <family val="2"/>
      </font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[h]:mm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rgb="FFFF0000"/>
        <name val="Calibri"/>
        <family val="2"/>
      </font>
      <numFmt numFmtId="164" formatCode="[h]:mm"/>
      <border diagonalUp="0" diagonalDown="0" outline="0">
        <left/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strike val="0"/>
        <outline val="0"/>
        <shadow val="0"/>
        <u val="none"/>
        <vertAlign val="baseline"/>
        <sz val="11"/>
        <color theme="3" tint="-0.249977111117893"/>
        <name val="Calibri"/>
        <family val="2"/>
        <scheme val="minor"/>
      </font>
      <numFmt numFmtId="164" formatCode="[h]:mm"/>
    </dxf>
    <dxf>
      <numFmt numFmtId="165" formatCode="h:mm;@"/>
      <border diagonalUp="0" diagonalDown="0" outline="0">
        <left style="thin">
          <color rgb="FFD9D9D9"/>
        </left>
        <right/>
        <top style="thin">
          <color rgb="FFD9D9D9"/>
        </top>
        <bottom style="thin">
          <color rgb="FFD9D9D9"/>
        </bottom>
      </border>
    </dxf>
    <dxf>
      <numFmt numFmtId="165" formatCode="h:mm;@"/>
    </dxf>
    <dxf>
      <font>
        <b/>
        <strike val="0"/>
        <outline val="0"/>
        <shadow val="0"/>
        <u val="none"/>
        <vertAlign val="baseline"/>
        <sz val="11"/>
        <color rgb="FFFF0000"/>
        <name val="Calibri"/>
        <family val="2"/>
      </font>
      <numFmt numFmtId="2" formatCode="0.0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numFmt numFmtId="2" formatCode="0.00"/>
      <border diagonalUp="0" diagonalDown="0" outline="0">
        <left style="thin">
          <color rgb="FFD9D9D9"/>
        </left>
        <right/>
        <top style="thin">
          <color rgb="FFD9D9D9"/>
        </top>
        <bottom style="thin">
          <color rgb="FFD9D9D9"/>
        </bottom>
      </border>
    </dxf>
    <dxf>
      <numFmt numFmtId="2" formatCode="0.0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2" formatCode="0.00"/>
      <border diagonalUp="0" diagonalDown="0" outline="0">
        <left/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-0.249977111117893"/>
        <name val="Calibri"/>
        <family val="2"/>
        <scheme val="minor"/>
      </font>
      <numFmt numFmtId="2" formatCode="0.0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-0.249977111117893"/>
        <name val="Calibri"/>
        <family val="2"/>
        <scheme val="minor"/>
      </font>
      <numFmt numFmtId="2" formatCode="0.0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theme="3" tint="-0.249977111117893"/>
        <name val="Calibri"/>
        <family val="2"/>
        <scheme val="minor"/>
      </font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Curva S - consumo</a:t>
            </a:r>
          </a:p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>
        <c:manualLayout>
          <c:xMode val="edge"/>
          <c:yMode val="edge"/>
          <c:x val="0.33153591269841265"/>
          <c:y val="1.3229166666666667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9212896825396834E-2"/>
          <c:y val="9.7013888888888886E-2"/>
          <c:w val="0.94456349206349211"/>
          <c:h val="0.74832222222222222"/>
        </c:manualLayout>
      </c:layout>
      <c:lineChart>
        <c:grouping val="standard"/>
        <c:varyColors val="1"/>
        <c:ser>
          <c:idx val="0"/>
          <c:order val="0"/>
          <c:tx>
            <c:strRef>
              <c:f>'QUÍMICOS '!$A$68</c:f>
              <c:strCache>
                <c:ptCount val="1"/>
                <c:pt idx="0">
                  <c:v>Planejado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5908-4266-BABF-D9BAA66964E5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5908-4266-BABF-D9BAA66964E5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5908-4266-BABF-D9BAA66964E5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5908-4266-BABF-D9BAA66964E5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9-5908-4266-BABF-D9BAA66964E5}"/>
              </c:ext>
            </c:extLst>
          </c:dPt>
          <c:dLbls>
            <c:dLbl>
              <c:idx val="1"/>
              <c:layout>
                <c:manualLayout>
                  <c:x val="-1.0122550470664852E-2"/>
                  <c:y val="0.1223318916121400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908-4266-BABF-D9BAA66964E5}"/>
                </c:ext>
              </c:extLst>
            </c:dLbl>
            <c:dLbl>
              <c:idx val="4"/>
              <c:layout>
                <c:manualLayout>
                  <c:x val="-1.2587768634183977E-2"/>
                  <c:y val="8.92018779342722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908-4266-BABF-D9BAA66964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'QUÍMICOS '!$B$67:$G$67</c:f>
              <c:strCache>
                <c:ptCount val="6"/>
                <c:pt idx="0">
                  <c:v>CMC</c:v>
                </c:pt>
                <c:pt idx="1">
                  <c:v>Goma X</c:v>
                </c:pt>
                <c:pt idx="2">
                  <c:v>Barrilha</c:v>
                </c:pt>
                <c:pt idx="3">
                  <c:v>Soda Caústica</c:v>
                </c:pt>
                <c:pt idx="4">
                  <c:v>Hexa T</c:v>
                </c:pt>
                <c:pt idx="5">
                  <c:v>Bentonita</c:v>
                </c:pt>
              </c:strCache>
            </c:strRef>
          </c:cat>
          <c:val>
            <c:numRef>
              <c:f>'QUÍMICOS '!$B$68:$G$68</c:f>
              <c:numCache>
                <c:formatCode>General</c:formatCode>
                <c:ptCount val="6"/>
                <c:pt idx="0">
                  <c:v>1471.9</c:v>
                </c:pt>
                <c:pt idx="1">
                  <c:v>0</c:v>
                </c:pt>
                <c:pt idx="2">
                  <c:v>110</c:v>
                </c:pt>
                <c:pt idx="3">
                  <c:v>0</c:v>
                </c:pt>
                <c:pt idx="4">
                  <c:v>726.48</c:v>
                </c:pt>
                <c:pt idx="5" formatCode="#,##0">
                  <c:v>32000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5908-4266-BABF-D9BAA66964E5}"/>
            </c:ext>
          </c:extLst>
        </c:ser>
        <c:ser>
          <c:idx val="1"/>
          <c:order val="1"/>
          <c:tx>
            <c:strRef>
              <c:f>'QUÍMICOS '!$A$69</c:f>
              <c:strCache>
                <c:ptCount val="1"/>
                <c:pt idx="0">
                  <c:v>Realizado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4.4467467882304185E-2"/>
                  <c:y val="-8.45070422535211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5908-4266-BABF-D9BAA66964E5}"/>
                </c:ext>
              </c:extLst>
            </c:dLbl>
            <c:dLbl>
              <c:idx val="2"/>
              <c:layout>
                <c:manualLayout>
                  <c:x val="-3.8446115288220555E-2"/>
                  <c:y val="-7.04225352112676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5908-4266-BABF-D9BAA66964E5}"/>
                </c:ext>
              </c:extLst>
            </c:dLbl>
            <c:dLbl>
              <c:idx val="3"/>
              <c:layout>
                <c:manualLayout>
                  <c:x val="-4.0952380952380955E-2"/>
                  <c:y val="-7.98122065727700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5908-4266-BABF-D9BAA66964E5}"/>
                </c:ext>
              </c:extLst>
            </c:dLbl>
            <c:dLbl>
              <c:idx val="4"/>
              <c:layout>
                <c:manualLayout>
                  <c:x val="-5.5989974937343361E-2"/>
                  <c:y val="-7.98122065727699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5908-4266-BABF-D9BAA66964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'QUÍMICOS '!$B$67:$G$67</c:f>
              <c:strCache>
                <c:ptCount val="6"/>
                <c:pt idx="0">
                  <c:v>CMC</c:v>
                </c:pt>
                <c:pt idx="1">
                  <c:v>Goma X</c:v>
                </c:pt>
                <c:pt idx="2">
                  <c:v>Barrilha</c:v>
                </c:pt>
                <c:pt idx="3">
                  <c:v>Soda Caústica</c:v>
                </c:pt>
                <c:pt idx="4">
                  <c:v>Hexa T</c:v>
                </c:pt>
                <c:pt idx="5">
                  <c:v>Bentonita</c:v>
                </c:pt>
              </c:strCache>
            </c:strRef>
          </c:cat>
          <c:val>
            <c:numRef>
              <c:f>'QUÍMICOS '!$B$69:$G$69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25</c:v>
                </c:pt>
                <c:pt idx="3">
                  <c:v>3</c:v>
                </c:pt>
                <c:pt idx="5">
                  <c:v>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5908-4266-BABF-D9BAA66964E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9267440476190474"/>
          <c:y val="0.88194444444444442"/>
          <c:w val="0.36080178571428573"/>
          <c:h val="7.441458333333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PLANEJADO x Realizado</a:t>
            </a:r>
          </a:p>
        </c:rich>
      </c:tx>
      <c:layout>
        <c:manualLayout>
          <c:xMode val="edge"/>
          <c:yMode val="edge"/>
          <c:x val="0.25798401000131066"/>
          <c:y val="2.3971101550450524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3814915261072519E-2"/>
          <c:y val="6.8879292150336877E-2"/>
          <c:w val="0.94825925925925925"/>
          <c:h val="0.8965185185185184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'QUÍMICOS '!$A$68</c:f>
              <c:strCache>
                <c:ptCount val="1"/>
                <c:pt idx="0">
                  <c:v>Planejado</c:v>
                </c:pt>
              </c:strCache>
            </c:strRef>
          </c:tx>
          <c:spPr>
            <a:solidFill>
              <a:srgbClr val="F79646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'QUÍMICOS '!$B$67:$G$67</c:f>
              <c:strCache>
                <c:ptCount val="6"/>
                <c:pt idx="0">
                  <c:v>CMC</c:v>
                </c:pt>
                <c:pt idx="1">
                  <c:v>Goma X</c:v>
                </c:pt>
                <c:pt idx="2">
                  <c:v>Barrilha</c:v>
                </c:pt>
                <c:pt idx="3">
                  <c:v>Soda Caústica</c:v>
                </c:pt>
                <c:pt idx="4">
                  <c:v>Hexa T</c:v>
                </c:pt>
                <c:pt idx="5">
                  <c:v>Bentonita</c:v>
                </c:pt>
              </c:strCache>
            </c:strRef>
          </c:cat>
          <c:val>
            <c:numRef>
              <c:f>'QUÍMICOS '!$B$68:$G$68</c:f>
              <c:numCache>
                <c:formatCode>General</c:formatCode>
                <c:ptCount val="6"/>
                <c:pt idx="0">
                  <c:v>1471.9</c:v>
                </c:pt>
                <c:pt idx="1">
                  <c:v>0</c:v>
                </c:pt>
                <c:pt idx="2">
                  <c:v>110</c:v>
                </c:pt>
                <c:pt idx="3">
                  <c:v>0</c:v>
                </c:pt>
                <c:pt idx="4">
                  <c:v>726.48</c:v>
                </c:pt>
                <c:pt idx="5" formatCode="#,##0">
                  <c:v>32000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C261-4534-84D4-072115CF944D}"/>
            </c:ext>
          </c:extLst>
        </c:ser>
        <c:ser>
          <c:idx val="1"/>
          <c:order val="1"/>
          <c:tx>
            <c:strRef>
              <c:f>'QUÍMICOS '!$A$69</c:f>
              <c:strCache>
                <c:ptCount val="1"/>
                <c:pt idx="0">
                  <c:v>Realizado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'QUÍMICOS '!$B$67:$G$67</c:f>
              <c:strCache>
                <c:ptCount val="6"/>
                <c:pt idx="0">
                  <c:v>CMC</c:v>
                </c:pt>
                <c:pt idx="1">
                  <c:v>Goma X</c:v>
                </c:pt>
                <c:pt idx="2">
                  <c:v>Barrilha</c:v>
                </c:pt>
                <c:pt idx="3">
                  <c:v>Soda Caústica</c:v>
                </c:pt>
                <c:pt idx="4">
                  <c:v>Hexa T</c:v>
                </c:pt>
                <c:pt idx="5">
                  <c:v>Bentonita</c:v>
                </c:pt>
              </c:strCache>
            </c:strRef>
          </c:cat>
          <c:val>
            <c:numRef>
              <c:f>'QUÍMICOS '!$B$69:$G$69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25</c:v>
                </c:pt>
                <c:pt idx="3">
                  <c:v>3</c:v>
                </c:pt>
                <c:pt idx="5">
                  <c:v>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61-4534-84D4-072115CF944D}"/>
            </c:ext>
          </c:extLst>
        </c:ser>
        <c:ser>
          <c:idx val="2"/>
          <c:order val="2"/>
          <c:tx>
            <c:strRef>
              <c:f>'QUÍMICOS '!$A$70</c:f>
              <c:strCache>
                <c:ptCount val="1"/>
                <c:pt idx="0">
                  <c:v>Imprevisto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'QUÍMICOS '!$B$67:$G$67</c:f>
              <c:strCache>
                <c:ptCount val="6"/>
                <c:pt idx="0">
                  <c:v>CMC</c:v>
                </c:pt>
                <c:pt idx="1">
                  <c:v>Goma X</c:v>
                </c:pt>
                <c:pt idx="2">
                  <c:v>Barrilha</c:v>
                </c:pt>
                <c:pt idx="3">
                  <c:v>Soda Caústica</c:v>
                </c:pt>
                <c:pt idx="4">
                  <c:v>Hexa T</c:v>
                </c:pt>
                <c:pt idx="5">
                  <c:v>Bentonita</c:v>
                </c:pt>
              </c:strCache>
            </c:strRef>
          </c:cat>
          <c:val>
            <c:numRef>
              <c:f>'QUÍMICOS '!$B$70:$G$70</c:f>
              <c:numCache>
                <c:formatCode>General</c:formatCode>
                <c:ptCount val="6"/>
                <c:pt idx="0">
                  <c:v>-1471.9</c:v>
                </c:pt>
                <c:pt idx="1">
                  <c:v>0</c:v>
                </c:pt>
                <c:pt idx="2">
                  <c:v>-85</c:v>
                </c:pt>
                <c:pt idx="3">
                  <c:v>3</c:v>
                </c:pt>
                <c:pt idx="4">
                  <c:v>-726.48</c:v>
                </c:pt>
                <c:pt idx="5">
                  <c:v>-28875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261-4534-84D4-072115CF94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9175395969229839"/>
          <c:y val="0.12021787482750225"/>
          <c:w val="0.43083246796455182"/>
          <c:h val="6.95881159184998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Distribuição Perfuração</a:t>
            </a:r>
          </a:p>
        </c:rich>
      </c:tx>
      <c:layout>
        <c:manualLayout>
          <c:xMode val="edge"/>
          <c:yMode val="edge"/>
          <c:x val="0.34669749799972799"/>
          <c:y val="2.8925619834710745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5761614096706702E-2"/>
          <c:y val="6.6115702479338845E-2"/>
          <c:w val="0.94021739130434778"/>
          <c:h val="0.7641595626992906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PERFURAÇÃO!$A$205</c:f>
              <c:strCache>
                <c:ptCount val="1"/>
                <c:pt idx="0">
                  <c:v>Metros Perfuração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PERFURAÇÃO!$A$204</c:f>
              <c:strCache>
                <c:ptCount val="1"/>
                <c:pt idx="0">
                  <c:v>Perfuração</c:v>
                </c:pt>
              </c:strCache>
            </c:strRef>
          </c:cat>
          <c:val>
            <c:numRef>
              <c:f>PERFURAÇÃO!$B$205</c:f>
              <c:numCache>
                <c:formatCode>0.00</c:formatCode>
                <c:ptCount val="1"/>
                <c:pt idx="0">
                  <c:v>511.3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37-4A09-A7FE-9C20909E8288}"/>
            </c:ext>
          </c:extLst>
        </c:ser>
        <c:ser>
          <c:idx val="1"/>
          <c:order val="1"/>
          <c:tx>
            <c:strRef>
              <c:f>PERFURAÇÃO!$A$206</c:f>
              <c:strCache>
                <c:ptCount val="1"/>
                <c:pt idx="0">
                  <c:v>Min/Metro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1.9567460514945405E-3"/>
                  <c:y val="-3.71594976247803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137-4A09-A7FE-9C20909E82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PERFURAÇÃO!$A$204</c:f>
              <c:strCache>
                <c:ptCount val="1"/>
                <c:pt idx="0">
                  <c:v>Perfuração</c:v>
                </c:pt>
              </c:strCache>
            </c:strRef>
          </c:cat>
          <c:val>
            <c:numRef>
              <c:f>PERFURAÇÃO!$B$206</c:f>
              <c:numCache>
                <c:formatCode>[h]:mm</c:formatCode>
                <c:ptCount val="1"/>
                <c:pt idx="0">
                  <c:v>5.0518015081382969E-2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37-4A09-A7FE-9C20909E8288}"/>
            </c:ext>
          </c:extLst>
        </c:ser>
        <c:ser>
          <c:idx val="2"/>
          <c:order val="2"/>
          <c:tx>
            <c:strRef>
              <c:f>PERFURAÇÃO!$A$207</c:f>
              <c:strCache>
                <c:ptCount val="1"/>
                <c:pt idx="0">
                  <c:v>Tempo Perfuração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5.8702381544834779E-3"/>
                  <c:y val="-3.006019392204073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137-4A09-A7FE-9C20909E82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PERFURAÇÃO!$A$204</c:f>
              <c:strCache>
                <c:ptCount val="1"/>
                <c:pt idx="0">
                  <c:v>Perfuração</c:v>
                </c:pt>
              </c:strCache>
            </c:strRef>
          </c:cat>
          <c:val>
            <c:numRef>
              <c:f>PERFURAÇÃO!$B$207</c:f>
              <c:numCache>
                <c:formatCode>[h]:mm</c:formatCode>
                <c:ptCount val="1"/>
                <c:pt idx="0">
                  <c:v>25.829861111111114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37-4A09-A7FE-9C20909E8288}"/>
            </c:ext>
          </c:extLst>
        </c:ser>
        <c:ser>
          <c:idx val="3"/>
          <c:order val="3"/>
          <c:tx>
            <c:strRef>
              <c:f>PERFURAÇÃO!$A$208</c:f>
              <c:strCache>
                <c:ptCount val="1"/>
                <c:pt idx="0">
                  <c:v>Dias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hade val="51000"/>
                    <a:satMod val="130000"/>
                  </a:schemeClr>
                </a:gs>
                <a:gs pos="80000">
                  <a:schemeClr val="accent6">
                    <a:lumMod val="60000"/>
                    <a:shade val="93000"/>
                    <a:satMod val="130000"/>
                  </a:schemeClr>
                </a:gs>
                <a:gs pos="100000">
                  <a:schemeClr val="accent6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3.913492102989081E-3"/>
                  <c:y val="-2.798724539597854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137-4A09-A7FE-9C20909E82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PERFURAÇÃO!$A$204</c:f>
              <c:strCache>
                <c:ptCount val="1"/>
                <c:pt idx="0">
                  <c:v>Perfuração</c:v>
                </c:pt>
              </c:strCache>
            </c:strRef>
          </c:cat>
          <c:val>
            <c:numRef>
              <c:f>PERFURAÇÃO!$B$208</c:f>
              <c:numCache>
                <c:formatCode>[h]:mm</c:formatCode>
                <c:ptCount val="1"/>
                <c:pt idx="0">
                  <c:v>1.076244212962963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37-4A09-A7FE-9C20909E828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Distribuição Reabertura</a:t>
            </a:r>
          </a:p>
        </c:rich>
      </c:tx>
      <c:layout>
        <c:manualLayout>
          <c:xMode val="edge"/>
          <c:yMode val="edge"/>
          <c:x val="0.34669749799972799"/>
          <c:y val="2.8925619834710745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5761614096706702E-2"/>
          <c:y val="6.6115702479338845E-2"/>
          <c:w val="0.94021739130434778"/>
          <c:h val="0.7641595626992906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PERFURAÇÃO!$A$210</c:f>
              <c:strCache>
                <c:ptCount val="1"/>
                <c:pt idx="0">
                  <c:v>Reabertura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PERFURAÇÃO!$B$210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7041-4954-A75F-E57AEF79E82E}"/>
            </c:ext>
          </c:extLst>
        </c:ser>
        <c:ser>
          <c:idx val="1"/>
          <c:order val="1"/>
          <c:tx>
            <c:strRef>
              <c:f>PERFURAÇÃO!$A$211</c:f>
              <c:strCache>
                <c:ptCount val="1"/>
                <c:pt idx="0">
                  <c:v>Metros Reabertura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1.9567460514945405E-3"/>
                  <c:y val="-3.71594976247803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41-4954-A75F-E57AEF79E8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PERFURAÇÃO!$B$211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41-4954-A75F-E57AEF79E82E}"/>
            </c:ext>
          </c:extLst>
        </c:ser>
        <c:ser>
          <c:idx val="2"/>
          <c:order val="2"/>
          <c:tx>
            <c:strRef>
              <c:f>PERFURAÇÃO!$A$212</c:f>
              <c:strCache>
                <c:ptCount val="1"/>
                <c:pt idx="0">
                  <c:v>Tempo Reabertura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5.8702381544834779E-3"/>
                  <c:y val="-3.006019392204073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041-4954-A75F-E57AEF79E8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PERFURAÇÃO!$B$212</c:f>
              <c:numCache>
                <c:formatCode>[h]:mm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41-4954-A75F-E57AEF79E82E}"/>
            </c:ext>
          </c:extLst>
        </c:ser>
        <c:ser>
          <c:idx val="3"/>
          <c:order val="3"/>
          <c:tx>
            <c:strRef>
              <c:f>PERFURAÇÃO!$A$213</c:f>
              <c:strCache>
                <c:ptCount val="1"/>
                <c:pt idx="0">
                  <c:v>Min/Metro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hade val="51000"/>
                    <a:satMod val="130000"/>
                  </a:schemeClr>
                </a:gs>
                <a:gs pos="80000">
                  <a:schemeClr val="accent6">
                    <a:lumMod val="60000"/>
                    <a:shade val="93000"/>
                    <a:satMod val="130000"/>
                  </a:schemeClr>
                </a:gs>
                <a:gs pos="100000">
                  <a:schemeClr val="accent6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3.913492102989081E-3"/>
                  <c:y val="-2.798724539597854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041-4954-A75F-E57AEF79E8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PERFURAÇÃO!$B$213</c:f>
              <c:numCache>
                <c:formatCode>[h]:mm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41-4954-A75F-E57AEF79E82E}"/>
            </c:ext>
          </c:extLst>
        </c:ser>
        <c:ser>
          <c:idx val="4"/>
          <c:order val="4"/>
          <c:tx>
            <c:strRef>
              <c:f>PERFURAÇÃO!$A$214</c:f>
              <c:strCache>
                <c:ptCount val="1"/>
                <c:pt idx="0">
                  <c:v>Dias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PERFURAÇÃO!$B$214</c:f>
              <c:numCache>
                <c:formatCode>[h]:mm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A7-4601-B399-974BD0BDE34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Tempo</a:t>
            </a:r>
            <a:r>
              <a:rPr lang="en-US" baseline="0"/>
              <a:t> Total do Poço</a:t>
            </a:r>
            <a:endParaRPr lang="en-US"/>
          </a:p>
        </c:rich>
      </c:tx>
      <c:layout>
        <c:manualLayout>
          <c:xMode val="edge"/>
          <c:yMode val="edge"/>
          <c:x val="0.34082725984524448"/>
          <c:y val="0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5761614096706702E-2"/>
          <c:y val="6.6115702479338845E-2"/>
          <c:w val="0.94021739130434778"/>
          <c:h val="0.7641595626992906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PERFURAÇÃO!$A$222</c:f>
              <c:strCache>
                <c:ptCount val="1"/>
                <c:pt idx="0">
                  <c:v>Tempo total de execução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PERFURAÇÃO!$A$221</c:f>
              <c:strCache>
                <c:ptCount val="1"/>
                <c:pt idx="0">
                  <c:v>Finalização Total</c:v>
                </c:pt>
              </c:strCache>
            </c:strRef>
          </c:cat>
          <c:val>
            <c:numRef>
              <c:f>PERFURAÇÃO!$B$222</c:f>
              <c:numCache>
                <c:formatCode>[h]:mm</c:formatCode>
                <c:ptCount val="1"/>
                <c:pt idx="0">
                  <c:v>28.864583333333336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5F-4EDE-81F4-474B77940872}"/>
            </c:ext>
          </c:extLst>
        </c:ser>
        <c:ser>
          <c:idx val="1"/>
          <c:order val="1"/>
          <c:tx>
            <c:strRef>
              <c:f>PERFURAÇÃO!$A$223</c:f>
              <c:strCache>
                <c:ptCount val="1"/>
                <c:pt idx="0">
                  <c:v>Dias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1.9567460514945405E-3"/>
                  <c:y val="-3.71594976247803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5F-4EDE-81F4-474B779408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PERFURAÇÃO!$A$221</c:f>
              <c:strCache>
                <c:ptCount val="1"/>
                <c:pt idx="0">
                  <c:v>Finalização Total</c:v>
                </c:pt>
              </c:strCache>
            </c:strRef>
          </c:cat>
          <c:val>
            <c:numRef>
              <c:f>PERFURAÇÃO!$B$223</c:f>
              <c:numCache>
                <c:formatCode>[h]:mm</c:formatCode>
                <c:ptCount val="1"/>
                <c:pt idx="0">
                  <c:v>1.2026909722222223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5F-4EDE-81F4-474B7794087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[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Tempo</a:t>
            </a:r>
            <a:r>
              <a:rPr lang="en-US" baseline="0"/>
              <a:t> Total de Repasse</a:t>
            </a:r>
          </a:p>
          <a:p>
            <a:pPr>
              <a:defRPr sz="1600" spc="10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defRPr>
            </a:pPr>
            <a:endParaRPr lang="en-US"/>
          </a:p>
        </c:rich>
      </c:tx>
      <c:layout>
        <c:manualLayout>
          <c:xMode val="edge"/>
          <c:yMode val="edge"/>
          <c:x val="0.37213519666915601"/>
          <c:y val="1.239669421487603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782597809954353E-2"/>
          <c:y val="9.9173553719008267E-2"/>
          <c:w val="0.94021739130434778"/>
          <c:h val="0.76415956269929064"/>
        </c:manualLayout>
      </c:layout>
      <c:barChart>
        <c:barDir val="col"/>
        <c:grouping val="clustered"/>
        <c:varyColors val="1"/>
        <c:ser>
          <c:idx val="1"/>
          <c:order val="1"/>
          <c:tx>
            <c:strRef>
              <c:f>PERFURAÇÃO!$A$217</c:f>
              <c:strCache>
                <c:ptCount val="1"/>
                <c:pt idx="0">
                  <c:v>Tempo Repasse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1.9567460514945405E-3"/>
                  <c:y val="-3.71594976247803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B6-4EB5-B959-BE116E664A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PERFURAÇÃO!$B$217</c:f>
              <c:numCache>
                <c:formatCode>[h]:mm</c:formatCode>
                <c:ptCount val="1"/>
                <c:pt idx="0">
                  <c:v>3.0347222222222223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B6-4EB5-B959-BE116E664A0A}"/>
            </c:ext>
          </c:extLst>
        </c:ser>
        <c:ser>
          <c:idx val="2"/>
          <c:order val="2"/>
          <c:tx>
            <c:strRef>
              <c:f>PERFURAÇÃO!$A$218</c:f>
              <c:strCache>
                <c:ptCount val="1"/>
                <c:pt idx="0">
                  <c:v>Dias</c:v>
                </c:pt>
              </c:strCache>
            </c:strRef>
          </c:tx>
          <c:spPr>
            <a:solidFill>
              <a:schemeClr val="accent6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PERFURAÇÃO!$B$218</c:f>
              <c:numCache>
                <c:formatCode>[h]:mm</c:formatCode>
                <c:ptCount val="1"/>
                <c:pt idx="0">
                  <c:v>0.12644675925925927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B6-4EB5-B959-BE116E664A0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PERFURAÇÃO!$A$216</c15:sqref>
                        </c15:formulaRef>
                      </c:ext>
                    </c:extLst>
                    <c:strCache>
                      <c:ptCount val="1"/>
                      <c:pt idx="0">
                        <c:v>Repasse</c:v>
                      </c:pt>
                    </c:strCache>
                  </c:strRef>
                </c:tx>
                <c:spPr>
                  <a:solidFill>
                    <a:schemeClr val="accent6">
                      <a:shade val="65000"/>
                    </a:schemeClr>
                  </a:soli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  <a:prstDash val="solid"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PERFURAÇÃO!$B$216</c15:sqref>
                        </c15:formulaRef>
                      </c:ext>
                    </c:extLst>
                    <c:numCache>
                      <c:formatCode>[h]:mm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7B6-4EB5-B959-BE116E664A0A}"/>
                  </c:ext>
                </c:extLst>
              </c15:ser>
            </c15:filteredBarSeries>
          </c:ext>
        </c:extLst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[h]:mm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Distribuição Rotopneumatico</a:t>
            </a:r>
          </a:p>
        </c:rich>
      </c:tx>
      <c:layout>
        <c:manualLayout>
          <c:xMode val="edge"/>
          <c:yMode val="edge"/>
          <c:x val="0.34669749799972799"/>
          <c:y val="2.8925619834710745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9737916207203694E-2"/>
          <c:y val="6.6115702479338845E-2"/>
          <c:w val="0.94021739130434778"/>
          <c:h val="0.7641595626992906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PERFURAÇÃO!$G$205</c:f>
              <c:strCache>
                <c:ptCount val="1"/>
                <c:pt idx="0">
                  <c:v>Metros Perfuração Rotopneumatico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PERFURAÇÃO!$H$204:$J$204</c:f>
              <c:strCache>
                <c:ptCount val="3"/>
                <c:pt idx="2">
                  <c:v>Dados</c:v>
                </c:pt>
              </c:strCache>
            </c:strRef>
          </c:cat>
          <c:val>
            <c:numRef>
              <c:f>PERFURAÇÃO!$H$205:$J$205</c:f>
              <c:numCache>
                <c:formatCode>0.00</c:formatCode>
                <c:ptCount val="3"/>
                <c:pt idx="1">
                  <c:v>11.5</c:v>
                </c:pt>
                <c:pt idx="2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89-47CC-9C74-6DCD5E2F01B9}"/>
            </c:ext>
          </c:extLst>
        </c:ser>
        <c:ser>
          <c:idx val="1"/>
          <c:order val="1"/>
          <c:tx>
            <c:strRef>
              <c:f>PERFURAÇÃO!$G$206</c:f>
              <c:strCache>
                <c:ptCount val="1"/>
                <c:pt idx="0">
                  <c:v>Min/Metro Rotopneumatico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1.9567460514945405E-3"/>
                  <c:y val="-3.71594976247803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B89-47CC-9C74-6DCD5E2F01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PERFURAÇÃO!$H$204:$J$204</c:f>
              <c:strCache>
                <c:ptCount val="3"/>
                <c:pt idx="2">
                  <c:v>Dados</c:v>
                </c:pt>
              </c:strCache>
            </c:strRef>
          </c:cat>
          <c:val>
            <c:numRef>
              <c:f>PERFURAÇÃO!$H$206:$J$206</c:f>
              <c:numCache>
                <c:formatCode>0.00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2-8B89-47CC-9C74-6DCD5E2F01B9}"/>
            </c:ext>
          </c:extLst>
        </c:ser>
        <c:ser>
          <c:idx val="2"/>
          <c:order val="2"/>
          <c:tx>
            <c:strRef>
              <c:f>PERFURAÇÃO!$G$207</c:f>
              <c:strCache>
                <c:ptCount val="1"/>
                <c:pt idx="0">
                  <c:v>Tempo Efeitvo Perfuração Rotopneumatico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5.8702381544834779E-3"/>
                  <c:y val="-3.006019392204073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B89-47CC-9C74-6DCD5E2F01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PERFURAÇÃO!$H$204:$J$204</c:f>
              <c:strCache>
                <c:ptCount val="3"/>
                <c:pt idx="2">
                  <c:v>Dados</c:v>
                </c:pt>
              </c:strCache>
            </c:strRef>
          </c:cat>
          <c:val>
            <c:numRef>
              <c:f>PERFURAÇÃO!$H$207:$J$207</c:f>
              <c:numCache>
                <c:formatCode>0.00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4-8B89-47CC-9C74-6DCD5E2F01B9}"/>
            </c:ext>
          </c:extLst>
        </c:ser>
        <c:ser>
          <c:idx val="3"/>
          <c:order val="3"/>
          <c:tx>
            <c:strRef>
              <c:f>PERFURAÇÃO!$G$208</c:f>
              <c:strCache>
                <c:ptCount val="1"/>
                <c:pt idx="0">
                  <c:v>Dias Rotopneumatico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hade val="51000"/>
                    <a:satMod val="130000"/>
                  </a:schemeClr>
                </a:gs>
                <a:gs pos="80000">
                  <a:schemeClr val="accent6">
                    <a:lumMod val="60000"/>
                    <a:shade val="93000"/>
                    <a:satMod val="130000"/>
                  </a:schemeClr>
                </a:gs>
                <a:gs pos="100000">
                  <a:schemeClr val="accent6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3.913492102989081E-3"/>
                  <c:y val="-2.798724539597854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B89-47CC-9C74-6DCD5E2F01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PERFURAÇÃO!$H$204:$J$204</c:f>
              <c:strCache>
                <c:ptCount val="3"/>
                <c:pt idx="2">
                  <c:v>Dados</c:v>
                </c:pt>
              </c:strCache>
            </c:strRef>
          </c:cat>
          <c:val>
            <c:numRef>
              <c:f>PERFURAÇÃO!$H$208:$J$208</c:f>
              <c:numCache>
                <c:formatCode>0.00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8B89-47CC-9C74-6DCD5E2F01B9}"/>
            </c:ext>
          </c:extLst>
        </c:ser>
        <c:ser>
          <c:idx val="4"/>
          <c:order val="4"/>
          <c:tx>
            <c:strRef>
              <c:f>PERFURAÇÃO!$G$209</c:f>
              <c:strCache>
                <c:ptCount val="1"/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PERFURAÇÃO!$H$204:$J$204</c:f>
              <c:strCache>
                <c:ptCount val="3"/>
                <c:pt idx="2">
                  <c:v>Dados</c:v>
                </c:pt>
              </c:strCache>
            </c:strRef>
          </c:cat>
          <c:val>
            <c:numRef>
              <c:f>PERFURAÇÃO!$H$209:$J$209</c:f>
              <c:numCache>
                <c:formatCode>0.00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6A6F-4113-9CF6-284C61134573}"/>
            </c:ext>
          </c:extLst>
        </c:ser>
        <c:ser>
          <c:idx val="5"/>
          <c:order val="5"/>
          <c:tx>
            <c:strRef>
              <c:f>PERFURAÇÃO!$G$210</c:f>
              <c:strCache>
                <c:ptCount val="1"/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PERFURAÇÃO!$H$204:$J$204</c:f>
              <c:strCache>
                <c:ptCount val="3"/>
                <c:pt idx="2">
                  <c:v>Dados</c:v>
                </c:pt>
              </c:strCache>
            </c:strRef>
          </c:cat>
          <c:val>
            <c:numRef>
              <c:f>PERFURAÇÃO!$H$210:$J$210</c:f>
              <c:numCache>
                <c:formatCode>0.00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6A6F-4113-9CF6-284C61134573}"/>
            </c:ext>
          </c:extLst>
        </c:ser>
        <c:ser>
          <c:idx val="6"/>
          <c:order val="6"/>
          <c:tx>
            <c:strRef>
              <c:f>PERFURAÇÃO!$G$211</c:f>
              <c:strCache>
                <c:ptCount val="1"/>
                <c:pt idx="0">
                  <c:v>Tempo Total Perfuração Rotopneumatico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PERFURAÇÃO!$H$204:$J$204</c:f>
              <c:strCache>
                <c:ptCount val="3"/>
                <c:pt idx="2">
                  <c:v>Dados</c:v>
                </c:pt>
              </c:strCache>
            </c:strRef>
          </c:cat>
          <c:val>
            <c:numRef>
              <c:f>PERFURAÇÃO!$H$211:$J$211</c:f>
              <c:numCache>
                <c:formatCode>0.00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2-6A6F-4113-9CF6-284C61134573}"/>
            </c:ext>
          </c:extLst>
        </c:ser>
        <c:ser>
          <c:idx val="7"/>
          <c:order val="7"/>
          <c:tx>
            <c:strRef>
              <c:f>PERFURAÇÃO!$G$212</c:f>
              <c:strCache>
                <c:ptCount val="1"/>
                <c:pt idx="0">
                  <c:v>Dias Total Rotopneumatico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PERFURAÇÃO!$H$204:$J$204</c:f>
              <c:strCache>
                <c:ptCount val="3"/>
                <c:pt idx="2">
                  <c:v>Dados</c:v>
                </c:pt>
              </c:strCache>
            </c:strRef>
          </c:cat>
          <c:val>
            <c:numRef>
              <c:f>PERFURAÇÃO!$H$212:$J$212</c:f>
              <c:numCache>
                <c:formatCode>0.00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3-6A6F-4113-9CF6-284C6113457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Distribuição Solo</a:t>
            </a:r>
            <a:r>
              <a:rPr lang="en-US" baseline="0"/>
              <a:t> Sedimentar</a:t>
            </a:r>
            <a:endParaRPr lang="en-US"/>
          </a:p>
        </c:rich>
      </c:tx>
      <c:layout>
        <c:manualLayout>
          <c:xMode val="edge"/>
          <c:yMode val="edge"/>
          <c:x val="0.34669749799972799"/>
          <c:y val="3.71900826446281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5761614096706702E-2"/>
          <c:y val="6.6115702479338845E-2"/>
          <c:w val="0.94021739130434778"/>
          <c:h val="0.7641595626992906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PERFURAÇÃO!$L$204</c:f>
              <c:strCache>
                <c:ptCount val="1"/>
                <c:pt idx="0">
                  <c:v>Perfuração solo sedimentos 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PERFURAÇÃO!$M$204:$Q$204</c:f>
              <c:numCache>
                <c:formatCode>[h]:mm</c:formatCode>
                <c:ptCount val="5"/>
                <c:pt idx="1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C6-477F-8776-1DEA1F453E15}"/>
            </c:ext>
          </c:extLst>
        </c:ser>
        <c:ser>
          <c:idx val="1"/>
          <c:order val="1"/>
          <c:tx>
            <c:strRef>
              <c:f>PERFURAÇÃO!$L$205</c:f>
              <c:strCache>
                <c:ptCount val="1"/>
                <c:pt idx="0">
                  <c:v>Metros Solo sed.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1.9567460514945405E-3"/>
                  <c:y val="-3.71594976247803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5C6-477F-8776-1DEA1F453E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PERFURAÇÃO!$M$205:$Q$205</c:f>
              <c:numCache>
                <c:formatCode>0.00</c:formatCode>
                <c:ptCount val="5"/>
                <c:pt idx="1">
                  <c:v>11.5</c:v>
                </c:pt>
                <c:pt idx="3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C6-477F-8776-1DEA1F453E15}"/>
            </c:ext>
          </c:extLst>
        </c:ser>
        <c:ser>
          <c:idx val="2"/>
          <c:order val="2"/>
          <c:tx>
            <c:strRef>
              <c:f>PERFURAÇÃO!$L$206</c:f>
              <c:strCache>
                <c:ptCount val="1"/>
                <c:pt idx="0">
                  <c:v>min/Metro Solo Sed.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5.8702381544834779E-3"/>
                  <c:y val="-3.006019392204073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5C6-477F-8776-1DEA1F453E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PERFURAÇÃO!$M$206:$Q$206</c:f>
              <c:numCache>
                <c:formatCode>[h]:mm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4-65C6-477F-8776-1DEA1F453E1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[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 Horas Paradas</a:t>
            </a:r>
          </a:p>
        </c:rich>
      </c:tx>
      <c:layout>
        <c:manualLayout>
          <c:xMode val="edge"/>
          <c:yMode val="edge"/>
          <c:x val="0.21452037473418012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27767531049328"/>
          <c:y val="8.4615358989897332E-2"/>
          <c:w val="0.63171885531561378"/>
          <c:h val="0.91538464101010264"/>
        </c:manualLayout>
      </c:layout>
      <c:pieChart>
        <c:varyColors val="1"/>
        <c:ser>
          <c:idx val="0"/>
          <c:order val="0"/>
          <c:tx>
            <c:strRef>
              <c:f>DASHBOARD!$E$5</c:f>
              <c:strCache>
                <c:ptCount val="1"/>
                <c:pt idx="0">
                  <c:v>Horas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DE3-42A0-AA2E-75C3C0B76A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DE3-42A0-AA2E-75C3C0B76A1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DE3-42A0-AA2E-75C3C0B76A1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DE3-42A0-AA2E-75C3C0B76A1A}"/>
              </c:ext>
            </c:extLst>
          </c:dPt>
          <c:dLbls>
            <c:numFmt formatCode="0.00%" sourceLinked="0"/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DASHBOARD!$D$6:$D$9</c:f>
              <c:strCache>
                <c:ptCount val="4"/>
                <c:pt idx="0">
                  <c:v>DH-GEL ENGENHARIA</c:v>
                </c:pt>
                <c:pt idx="1">
                  <c:v>SANEPAR</c:v>
                </c:pt>
                <c:pt idx="2">
                  <c:v>Chuva</c:v>
                </c:pt>
                <c:pt idx="3">
                  <c:v>Mecânica</c:v>
                </c:pt>
              </c:strCache>
            </c:strRef>
          </c:cat>
          <c:val>
            <c:numRef>
              <c:f>DASHBOARD!$E$6:$E$9</c:f>
              <c:numCache>
                <c:formatCode>[h]:mm</c:formatCode>
                <c:ptCount val="4"/>
                <c:pt idx="0">
                  <c:v>6.9444444444444448E-2</c:v>
                </c:pt>
                <c:pt idx="1">
                  <c:v>0</c:v>
                </c:pt>
                <c:pt idx="2">
                  <c:v>0.52777777777777779</c:v>
                </c:pt>
                <c:pt idx="3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DE3-42A0-AA2E-75C3C0B76A1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Curva S - Horas Trabalhada</a:t>
            </a:r>
          </a:p>
        </c:rich>
      </c:tx>
      <c:layout>
        <c:manualLayout>
          <c:xMode val="edge"/>
          <c:yMode val="edge"/>
          <c:x val="0.23074226190476191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343452380952384E-2"/>
          <c:y val="8.3784722222222219E-2"/>
          <c:w val="0.94456349206349211"/>
          <c:h val="0.74832222222222222"/>
        </c:manualLayout>
      </c:layout>
      <c:lineChart>
        <c:grouping val="standard"/>
        <c:varyColors val="1"/>
        <c:ser>
          <c:idx val="0"/>
          <c:order val="0"/>
          <c:tx>
            <c:strRef>
              <c:f>DASHBOARD!$E$12</c:f>
              <c:strCache>
                <c:ptCount val="1"/>
                <c:pt idx="0">
                  <c:v>Trabalhada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7E9-4CE3-9A9A-4A4966357E79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7E9-4CE3-9A9A-4A4966357E79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7E9-4CE3-9A9A-4A4966357E79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34925" cap="rnd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7E9-4CE3-9A9A-4A4966357E79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4925" cap="rnd">
                <a:solidFill>
                  <a:schemeClr val="accent5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7E9-4CE3-9A9A-4A4966357E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DASHBOARD!$D$13:$D$16</c:f>
              <c:strCache>
                <c:ptCount val="3"/>
                <c:pt idx="0">
                  <c:v>Abril</c:v>
                </c:pt>
                <c:pt idx="1">
                  <c:v>Maio</c:v>
                </c:pt>
                <c:pt idx="2">
                  <c:v>Junho</c:v>
                </c:pt>
              </c:strCache>
            </c:strRef>
          </c:cat>
          <c:val>
            <c:numRef>
              <c:f>DASHBOARD!$E$13:$E$16</c:f>
              <c:numCache>
                <c:formatCode>[h]:mm</c:formatCode>
                <c:ptCount val="4"/>
                <c:pt idx="0">
                  <c:v>3.28125</c:v>
                </c:pt>
                <c:pt idx="1">
                  <c:v>12.777083333333332</c:v>
                </c:pt>
                <c:pt idx="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C7E9-4CE3-9A9A-4A4966357E7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[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Comparativo de Horas Paradas</a:t>
            </a:r>
          </a:p>
        </c:rich>
      </c:tx>
      <c:layout>
        <c:manualLayout>
          <c:xMode val="edge"/>
          <c:yMode val="edge"/>
          <c:x val="0.17210172488230091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DASHBOARD!$B$15</c:f>
              <c:strCache>
                <c:ptCount val="1"/>
                <c:pt idx="0">
                  <c:v>Horas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7799-4265-85FD-931EBB55B64E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7799-4265-85FD-931EBB55B64E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7799-4265-85FD-931EBB55B64E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7799-4265-85FD-931EBB55B64E}"/>
              </c:ext>
            </c:extLst>
          </c:dPt>
          <c:cat>
            <c:strRef>
              <c:f>DASHBOARD!$A$16:$A$19</c:f>
              <c:strCache>
                <c:ptCount val="4"/>
                <c:pt idx="0">
                  <c:v>DH-GEL ENGENHARIA</c:v>
                </c:pt>
                <c:pt idx="1">
                  <c:v>SANEPAR</c:v>
                </c:pt>
                <c:pt idx="2">
                  <c:v>Chuva</c:v>
                </c:pt>
                <c:pt idx="3">
                  <c:v>Parada Mecânica</c:v>
                </c:pt>
              </c:strCache>
            </c:strRef>
          </c:cat>
          <c:val>
            <c:numRef>
              <c:f>DASHBOARD!$B$16:$B$19</c:f>
              <c:numCache>
                <c:formatCode>[h]:mm</c:formatCode>
                <c:ptCount val="4"/>
                <c:pt idx="0">
                  <c:v>6.9444444444444448E-2</c:v>
                </c:pt>
                <c:pt idx="1">
                  <c:v>0</c:v>
                </c:pt>
                <c:pt idx="2">
                  <c:v>0.52777777777777779</c:v>
                </c:pt>
                <c:pt idx="3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799-4265-85FD-931EBB55B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[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Distribuição Horas </a:t>
            </a:r>
          </a:p>
        </c:rich>
      </c:tx>
      <c:layout>
        <c:manualLayout>
          <c:xMode val="edge"/>
          <c:yMode val="edge"/>
          <c:x val="0.2860618613149547"/>
          <c:y val="8.2987551867219917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51479874539494"/>
          <c:y val="0.1037344398340249"/>
          <c:w val="0.5929701644437303"/>
          <c:h val="0.8137961904139575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8EE2-4591-AEB6-234C24F3D99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C48D-4AD5-BBBE-9F7C0D56EDD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C48D-4AD5-BBBE-9F7C0D56EDD7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DASHBOARD!$A$5:$A$7</c15:sqref>
                  </c15:fullRef>
                </c:ext>
              </c:extLst>
              <c:f>DASHBOARD!$A$6:$A$7</c:f>
              <c:strCache>
                <c:ptCount val="2"/>
                <c:pt idx="0">
                  <c:v>Horas Trabalhadas</c:v>
                </c:pt>
                <c:pt idx="1">
                  <c:v>Horas Paradas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DASHBOARD!$B$5:$B$7</c15:sqref>
                  </c15:fullRef>
                </c:ext>
              </c:extLst>
              <c:f>DASHBOARD!$B$6:$B$7</c:f>
              <c:numCache>
                <c:formatCode>[h]:mm</c:formatCode>
                <c:ptCount val="2"/>
                <c:pt idx="0">
                  <c:v>16.05833333333333</c:v>
                </c:pt>
                <c:pt idx="1">
                  <c:v>1.0729166666666665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DASHBOARD!$B$5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1">
                            <a:shade val="51000"/>
                            <a:satMod val="130000"/>
                          </a:schemeClr>
                        </a:gs>
                        <a:gs pos="80000">
                          <a:schemeClr val="accent1">
                            <a:shade val="93000"/>
                            <a:satMod val="130000"/>
                          </a:schemeClr>
                        </a:gs>
                        <a:gs pos="100000">
                          <a:schemeClr val="accent1">
                            <a:shade val="94000"/>
                            <a:satMod val="135000"/>
                          </a:schemeClr>
                        </a:gs>
                      </a:gsLst>
                      <a:lin ang="16200000" scaled="0"/>
                    </a:gradFill>
                    <a:ln>
                      <a:noFill/>
                    </a:ln>
                    <a:effectLst>
                      <a:outerShdw blurRad="40000" dist="23000" dir="5400000" rotWithShape="0">
                        <a:srgbClr val="000000">
                          <a:alpha val="35000"/>
                        </a:srgbClr>
                      </a:outerShdw>
                    </a:effectLst>
                    <a:scene3d>
                      <a:camera prst="orthographicFront">
                        <a:rot lat="0" lon="0" rev="0"/>
                      </a:camera>
                      <a:lightRig rig="threePt" dir="t">
                        <a:rot lat="0" lon="0" rev="1200000"/>
                      </a:lightRig>
                    </a:scene3d>
                    <a:sp3d>
                      <a:bevelT w="63500" h="25400"/>
                    </a:sp3d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C48D-4AD5-BBBE-9F7C0D56EDD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116092631278232"/>
          <c:y val="0.91338125265462144"/>
          <c:w val="0.49279530534873622"/>
          <c:h val="7.83199921586565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Distribuição Horas Trabalhadas</a:t>
            </a:r>
          </a:p>
        </c:rich>
      </c:tx>
      <c:layout>
        <c:manualLayout>
          <c:xMode val="edge"/>
          <c:yMode val="edge"/>
          <c:x val="0.21452037473418012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27767531049328"/>
          <c:y val="8.4615358989897332E-2"/>
          <c:w val="0.63171885531561378"/>
          <c:h val="0.9153846410101026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C58D-48F2-A3AD-1AFC1604437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C58D-48F2-A3AD-1AFC1604437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C58D-48F2-A3AD-1AFC1604437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C58D-48F2-A3AD-1AFC16044370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DASHBOARD!$D$13:$D$14</c:f>
              <c:strCache>
                <c:ptCount val="2"/>
                <c:pt idx="0">
                  <c:v>Abril</c:v>
                </c:pt>
                <c:pt idx="1">
                  <c:v>Maio</c:v>
                </c:pt>
              </c:strCache>
            </c:strRef>
          </c:cat>
          <c:val>
            <c:numRef>
              <c:f>DASHBOARD!$E$13:$E$14</c:f>
              <c:numCache>
                <c:formatCode>[h]:mm</c:formatCode>
                <c:ptCount val="2"/>
                <c:pt idx="0">
                  <c:v>3.28125</c:v>
                </c:pt>
                <c:pt idx="1">
                  <c:v>12.777083333333332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8D-48F2-A3AD-1AFC1604437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6302273120543533"/>
          <c:y val="0.92108118368142944"/>
          <c:w val="0.42936165372447332"/>
          <c:h val="7.45038068158708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</a:t>
            </a:r>
            <a:r>
              <a:rPr lang="en-US" baseline="0"/>
              <a:t> SANEPAR</a:t>
            </a:r>
          </a:p>
        </c:rich>
      </c:tx>
      <c:layout>
        <c:manualLayout>
          <c:xMode val="edge"/>
          <c:yMode val="edge"/>
          <c:x val="0.25526489216021908"/>
          <c:y val="2.892561983471074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891304347826088E-2"/>
          <c:y val="4.5454545454545456E-2"/>
          <c:w val="0.94021739130434778"/>
          <c:h val="0.7641595626992906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'DISTRIBUIÇÃO DE HORAS PARADAS'!$B$4</c:f>
              <c:strCache>
                <c:ptCount val="1"/>
                <c:pt idx="0">
                  <c:v>Horas</c:v>
                </c:pt>
              </c:strCache>
            </c:strRef>
          </c:tx>
          <c:spPr>
            <a:solidFill>
              <a:srgbClr val="F79646">
                <a:alpha val="84706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1"/>
          <c:dPt>
            <c:idx val="0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51-4278-97DF-56B1AC06A205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251-4278-97DF-56B1AC06A205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251-4278-97DF-56B1AC06A205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251-4278-97DF-56B1AC06A2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'DISTRIBUIÇÃO DE HORAS PARADAS'!$A$5:$A$7</c:f>
              <c:strCache>
                <c:ptCount val="2"/>
                <c:pt idx="0">
                  <c:v>Administrativo</c:v>
                </c:pt>
                <c:pt idx="1">
                  <c:v>Fornecimento de Água</c:v>
                </c:pt>
              </c:strCache>
            </c:strRef>
          </c:cat>
          <c:val>
            <c:numRef>
              <c:f>'DISTRIBUIÇÃO DE HORAS PARADAS'!$B$5:$B$7</c:f>
              <c:numCache>
                <c:formatCode>[h]:mm</c:formatCode>
                <c:ptCount val="3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8-9251-4278-97DF-56B1AC06A205}"/>
            </c:ext>
          </c:extLst>
        </c:ser>
        <c:ser>
          <c:idx val="1"/>
          <c:order val="1"/>
          <c:tx>
            <c:strRef>
              <c:f>'DISTRIBUIÇÃO DE HORAS PARADAS'!$C$4</c:f>
              <c:strCache>
                <c:ptCount val="1"/>
                <c:pt idx="0">
                  <c:v>Dias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'DISTRIBUIÇÃO DE HORAS PARADAS'!$A$5:$A$7</c:f>
              <c:strCache>
                <c:ptCount val="2"/>
                <c:pt idx="0">
                  <c:v>Administrativo</c:v>
                </c:pt>
                <c:pt idx="1">
                  <c:v>Fornecimento de Água</c:v>
                </c:pt>
              </c:strCache>
            </c:strRef>
          </c:cat>
          <c:val>
            <c:numRef>
              <c:f>'DISTRIBUIÇÃO DE HORAS PARADAS'!$C$5:$C$7</c:f>
              <c:numCache>
                <c:formatCode>[h]:mm</c:formatCode>
                <c:ptCount val="3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251-4278-97DF-56B1AC06A20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[h]:mm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</a:t>
            </a:r>
            <a:r>
              <a:rPr lang="en-US" baseline="0"/>
              <a:t> DH - Gel Engenharia</a:t>
            </a:r>
            <a:endParaRPr lang="en-US"/>
          </a:p>
        </c:rich>
      </c:tx>
      <c:layout>
        <c:manualLayout>
          <c:xMode val="edge"/>
          <c:yMode val="edge"/>
          <c:x val="0.17646054433413211"/>
          <c:y val="8.2644628099173556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891304347826088E-2"/>
          <c:y val="4.5454545454545456E-2"/>
          <c:w val="0.94021739130434778"/>
          <c:h val="0.7641595626992906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'DISTRIBUIÇÃO DE HORAS PARADAS'!$F$4</c:f>
              <c:strCache>
                <c:ptCount val="1"/>
                <c:pt idx="0">
                  <c:v>Horas</c:v>
                </c:pt>
              </c:strCache>
            </c:strRef>
          </c:tx>
          <c:spPr>
            <a:solidFill>
              <a:srgbClr val="F79646">
                <a:alpha val="84706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1"/>
          <c:dPt>
            <c:idx val="0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42A-49F7-9C05-862A93F63F0A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42A-49F7-9C05-862A93F63F0A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42A-49F7-9C05-862A93F63F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'DISTRIBUIÇÃO DE HORAS PARADAS'!$E$5:$E$8</c15:sqref>
                  </c15:fullRef>
                </c:ext>
              </c:extLst>
              <c:f>'DISTRIBUIÇÃO DE HORAS PARADAS'!$E$5:$E$7</c:f>
              <c:strCache>
                <c:ptCount val="3"/>
                <c:pt idx="0">
                  <c:v>Falta de Equipe/Administrativo</c:v>
                </c:pt>
                <c:pt idx="1">
                  <c:v>Manutenção de Equipamentos</c:v>
                </c:pt>
                <c:pt idx="2">
                  <c:v>Chuva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'DISTRIBUIÇÃO DE HORAS PARADAS'!$F$5:$F$8</c15:sqref>
                  </c15:fullRef>
                </c:ext>
              </c:extLst>
              <c:f>'DISTRIBUIÇÃO DE HORAS PARADAS'!$F$5:$F$7</c:f>
              <c:numCache>
                <c:formatCode>[h]:mm</c:formatCode>
                <c:ptCount val="3"/>
                <c:pt idx="0">
                  <c:v>6.9444444444444448E-2</c:v>
                </c:pt>
                <c:pt idx="1">
                  <c:v>0.16666666666666666</c:v>
                </c:pt>
                <c:pt idx="2">
                  <c:v>0.52777777777777779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14:spPr>
              </c14:invertSolidFillFmt>
            </c:ext>
            <c:ext xmlns:c15="http://schemas.microsoft.com/office/drawing/2012/chart" uri="{02D57815-91ED-43cb-92C2-25804820EDAC}">
              <c15:categoryFilterExceptions>
                <c15:categoryFilterException>
                  <c15:sqref>'DISTRIBUIÇÃO DE HORAS PARADAS'!$F$8</c15:sqref>
                  <c15:spPr xmlns:c15="http://schemas.microsoft.com/office/drawing/2012/chart">
                    <a:solidFill>
                      <a:schemeClr val="accent6">
                        <a:alpha val="85000"/>
                      </a:schemeClr>
                    </a:solidFill>
                    <a:ln w="9525" cap="flat" cmpd="sng" algn="ctr">
                      <a:solidFill>
                        <a:schemeClr val="lt1">
                          <a:alpha val="50000"/>
                        </a:schemeClr>
                      </a:solidFill>
                      <a:round/>
                    </a:ln>
                    <a:effectLst/>
                  </c15:spPr>
                  <c15:invertIfNegative val="1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8-042A-49F7-9C05-862A93F63F0A}"/>
            </c:ext>
          </c:extLst>
        </c:ser>
        <c:ser>
          <c:idx val="1"/>
          <c:order val="1"/>
          <c:tx>
            <c:strRef>
              <c:f>'DISTRIBUIÇÃO DE HORAS PARADAS'!$G$4</c:f>
              <c:strCache>
                <c:ptCount val="1"/>
                <c:pt idx="0">
                  <c:v>Dias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'DISTRIBUIÇÃO DE HORAS PARADAS'!$E$5:$E$8</c15:sqref>
                  </c15:fullRef>
                </c:ext>
              </c:extLst>
              <c:f>'DISTRIBUIÇÃO DE HORAS PARADAS'!$E$5:$E$7</c:f>
              <c:strCache>
                <c:ptCount val="3"/>
                <c:pt idx="0">
                  <c:v>Falta de Equipe/Administrativo</c:v>
                </c:pt>
                <c:pt idx="1">
                  <c:v>Manutenção de Equipamentos</c:v>
                </c:pt>
                <c:pt idx="2">
                  <c:v>Chuva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'DISTRIBUIÇÃO DE HORAS PARADAS'!$G$5:$G$8</c15:sqref>
                  </c15:fullRef>
                </c:ext>
              </c:extLst>
              <c:f>'DISTRIBUIÇÃO DE HORAS PARADAS'!$G$5:$G$7</c:f>
              <c:numCache>
                <c:formatCode>[h]:mm</c:formatCode>
                <c:ptCount val="3"/>
                <c:pt idx="0">
                  <c:v>2.8935185185185188E-3</c:v>
                </c:pt>
                <c:pt idx="1">
                  <c:v>6.9444444444444441E-3</c:v>
                </c:pt>
                <c:pt idx="2">
                  <c:v>2.1990740740740741E-2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42A-49F7-9C05-862A93F63F0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[h]:mm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</a:t>
            </a:r>
            <a:r>
              <a:rPr lang="en-US" baseline="0"/>
              <a:t> </a:t>
            </a:r>
          </a:p>
        </c:rich>
      </c:tx>
      <c:layout>
        <c:manualLayout>
          <c:xMode val="edge"/>
          <c:yMode val="edge"/>
          <c:x val="0.25798228346456692"/>
          <c:y val="1.239669421487603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891304347826088E-2"/>
          <c:y val="4.5454545454545456E-2"/>
          <c:w val="0.94021739130434778"/>
          <c:h val="0.7641595626992906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'DISTRIBUIÇÃO DE HORAS PARADAS'!$I$4</c:f>
              <c:strCache>
                <c:ptCount val="1"/>
                <c:pt idx="0">
                  <c:v>Horas</c:v>
                </c:pt>
              </c:strCache>
            </c:strRef>
          </c:tx>
          <c:spPr>
            <a:solidFill>
              <a:srgbClr val="F79646">
                <a:alpha val="84706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1"/>
          <c:dPt>
            <c:idx val="0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6C-49B6-945B-9F133D269C91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6C-49B6-945B-9F133D269C91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76C-49B6-945B-9F133D269C91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76C-49B6-945B-9F133D269C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'DISTRIBUIÇÃO DE HORAS PARADAS'!$H$5</c:f>
              <c:strCache>
                <c:ptCount val="1"/>
                <c:pt idx="0">
                  <c:v>Manutenção </c:v>
                </c:pt>
              </c:strCache>
            </c:strRef>
          </c:cat>
          <c:val>
            <c:numRef>
              <c:f>'DISTRIBUIÇÃO DE HORAS PARADAS'!$I$5</c:f>
              <c:numCache>
                <c:formatCode>[h]:mm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8-376C-49B6-945B-9F133D269C91}"/>
            </c:ext>
          </c:extLst>
        </c:ser>
        <c:ser>
          <c:idx val="1"/>
          <c:order val="1"/>
          <c:tx>
            <c:strRef>
              <c:f>'DISTRIBUIÇÃO DE HORAS PARADAS'!$J$4</c:f>
              <c:strCache>
                <c:ptCount val="1"/>
                <c:pt idx="0">
                  <c:v>Dias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'DISTRIBUIÇÃO DE HORAS PARADAS'!$H$5</c:f>
              <c:strCache>
                <c:ptCount val="1"/>
                <c:pt idx="0">
                  <c:v>Manutenção </c:v>
                </c:pt>
              </c:strCache>
            </c:strRef>
          </c:cat>
          <c:val>
            <c:numRef>
              <c:f>'DISTRIBUIÇÃO DE HORAS PARADAS'!$J$5</c:f>
              <c:numCache>
                <c:formatCode>[h]:mm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76C-49B6-945B-9F133D269C9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[h]:mm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Distribuição Horas Maio </a:t>
            </a:r>
          </a:p>
        </c:rich>
      </c:tx>
      <c:layout>
        <c:manualLayout>
          <c:xMode val="edge"/>
          <c:yMode val="edge"/>
          <c:x val="0.2860618613149547"/>
          <c:y val="8.2987551867219917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51479874539494"/>
          <c:y val="0.1037344398340249"/>
          <c:w val="0.5929701644437303"/>
          <c:h val="0.8137961904139575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6644-4497-8975-BC10E0A4B84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6644-4497-8975-BC10E0A4B84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6644-4497-8975-BC10E0A4B84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6644-4497-8975-BC10E0A4B840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'Maio '!$A$43:$A$44</c:f>
              <c:strCache>
                <c:ptCount val="2"/>
                <c:pt idx="0">
                  <c:v>Total Horas Trabalhadas</c:v>
                </c:pt>
                <c:pt idx="1">
                  <c:v>Total Horas Paradas</c:v>
                </c:pt>
              </c:strCache>
            </c:strRef>
          </c:cat>
          <c:val>
            <c:numRef>
              <c:f>'Maio '!$C$43:$C$44</c:f>
              <c:numCache>
                <c:formatCode>[h]:mm</c:formatCode>
                <c:ptCount val="2"/>
                <c:pt idx="0">
                  <c:v>12.777083333333332</c:v>
                </c:pt>
                <c:pt idx="1">
                  <c:v>0.90624999999999989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644-4497-8975-BC10E0A4B84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Distribuição Horas Abril </a:t>
            </a:r>
          </a:p>
        </c:rich>
      </c:tx>
      <c:layout>
        <c:manualLayout>
          <c:xMode val="edge"/>
          <c:yMode val="edge"/>
          <c:x val="0.2860618613149547"/>
          <c:y val="8.2987551867219917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51479874539494"/>
          <c:y val="0.1037344398340249"/>
          <c:w val="0.5929701644437303"/>
          <c:h val="0.8137961904139575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CA97-443F-8F24-EAB1BB2030C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CA97-443F-8F24-EAB1BB2030C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CA97-443F-8F24-EAB1BB2030C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CA97-443F-8F24-EAB1BB2030C0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Abril!$A$41:$A$42</c:f>
              <c:strCache>
                <c:ptCount val="2"/>
                <c:pt idx="0">
                  <c:v>Total Horas Trabalhadas</c:v>
                </c:pt>
                <c:pt idx="1">
                  <c:v>Total Horas Paradas</c:v>
                </c:pt>
              </c:strCache>
            </c:strRef>
          </c:cat>
          <c:val>
            <c:numRef>
              <c:f>Abril!$C$41:$C$42</c:f>
              <c:numCache>
                <c:formatCode>[h]:mm</c:formatCode>
                <c:ptCount val="2"/>
                <c:pt idx="0">
                  <c:v>3.28125</c:v>
                </c:pt>
                <c:pt idx="1">
                  <c:v>0.16666666666666669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A97-443F-8F24-EAB1BB2030C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Distribuição Horas Março </a:t>
            </a:r>
          </a:p>
        </c:rich>
      </c:tx>
      <c:layout>
        <c:manualLayout>
          <c:xMode val="edge"/>
          <c:yMode val="edge"/>
          <c:x val="0.2860618613149547"/>
          <c:y val="8.2987551867219917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51479874539494"/>
          <c:y val="0.1037344398340249"/>
          <c:w val="0.5929701644437303"/>
          <c:h val="0.81379619041395757"/>
        </c:manualLayout>
      </c:layout>
      <c:pieChart>
        <c:varyColors val="1"/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hade val="51000"/>
                            <a:satMod val="130000"/>
                          </a:schemeClr>
                        </a:gs>
                        <a:gs pos="80000">
                          <a:schemeClr val="accent1">
                            <a:shade val="93000"/>
                            <a:satMod val="130000"/>
                          </a:schemeClr>
                        </a:gs>
                        <a:gs pos="100000">
                          <a:schemeClr val="accent1">
                            <a:shade val="94000"/>
                            <a:satMod val="135000"/>
                          </a:schemeClr>
                        </a:gs>
                      </a:gsLst>
                      <a:lin ang="16200000" scaled="0"/>
                    </a:gradFill>
                    <a:ln>
                      <a:noFill/>
                    </a:ln>
                    <a:effectLst>
                      <a:outerShdw blurRad="40000" dist="23000" dir="5400000" rotWithShape="0">
                        <a:srgbClr val="000000">
                          <a:alpha val="35000"/>
                        </a:srgbClr>
                      </a:outerShdw>
                    </a:effectLst>
                    <a:scene3d>
                      <a:camera prst="orthographicFront">
                        <a:rot lat="0" lon="0" rev="0"/>
                      </a:camera>
                      <a:lightRig rig="threePt" dir="t">
                        <a:rot lat="0" lon="0" rev="1200000"/>
                      </a:lightRig>
                    </a:scene3d>
                    <a:sp3d>
                      <a:bevelT w="63500" h="254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1-BBBD-4DAC-81B3-B57B1A9BEBB0}"/>
                    </c:ext>
                  </c:extLst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2">
                            <a:shade val="51000"/>
                            <a:satMod val="130000"/>
                          </a:schemeClr>
                        </a:gs>
                        <a:gs pos="80000">
                          <a:schemeClr val="accent2">
                            <a:shade val="93000"/>
                            <a:satMod val="130000"/>
                          </a:schemeClr>
                        </a:gs>
                        <a:gs pos="100000">
                          <a:schemeClr val="accent2">
                            <a:shade val="94000"/>
                            <a:satMod val="135000"/>
                          </a:schemeClr>
                        </a:gs>
                      </a:gsLst>
                      <a:lin ang="16200000" scaled="0"/>
                    </a:gradFill>
                    <a:ln>
                      <a:noFill/>
                    </a:ln>
                    <a:effectLst>
                      <a:outerShdw blurRad="40000" dist="23000" dir="5400000" rotWithShape="0">
                        <a:srgbClr val="000000">
                          <a:alpha val="35000"/>
                        </a:srgbClr>
                      </a:outerShdw>
                    </a:effectLst>
                    <a:scene3d>
                      <a:camera prst="orthographicFront">
                        <a:rot lat="0" lon="0" rev="0"/>
                      </a:camera>
                      <a:lightRig rig="threePt" dir="t">
                        <a:rot lat="0" lon="0" rev="1200000"/>
                      </a:lightRig>
                    </a:scene3d>
                    <a:sp3d>
                      <a:bevelT w="63500" h="254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3-BBBD-4DAC-81B3-B57B1A9BEBB0}"/>
                    </c:ext>
                  </c:extLst>
                </c:dPt>
                <c:dLbls>
                  <c:numFmt formatCode="0.00%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lt1">
                            <a:lumMod val="95000"/>
                            <a:alpha val="54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val>
                  <c:numLit>
                    <c:ptCount val="0"/>
                  </c:numLit>
                </c:val>
                <c:extLst>
                  <c:ext uri="{02D57815-91ED-43cb-92C2-25804820EDAC}">
                    <c15:filteredCategoryTitle>
                      <c15:cat>
                        <mc:AlternateContent xmlns:mc="http://schemas.openxmlformats.org/markup-compatibility/2006">
                          <mc:Choice xmlns:c16ac="http://schemas.microsoft.com/office/drawing/2014/chart/ac" Requires="c16ac">
                            <c16ac:multiLvlStrLit>
                              <c:ptCount val="0"/>
                            </c16ac:multiLvlStrLit>
                          </mc:Choice>
                          <mc:Fallback>
                            <c:strLit/>
                          </mc:Fallback>
                        </mc:AlternateContent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4-BBBD-4DAC-81B3-B57B1A9BEBB0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Distribuição Horas Fevereiro </a:t>
            </a:r>
          </a:p>
        </c:rich>
      </c:tx>
      <c:layout>
        <c:manualLayout>
          <c:xMode val="edge"/>
          <c:yMode val="edge"/>
          <c:x val="0.20140577665887002"/>
          <c:y val="4.1493775933609959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51479874539494"/>
          <c:y val="0.1037344398340249"/>
          <c:w val="0.5929701644437303"/>
          <c:h val="0.8137961904139575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9C70-44EF-B1E3-5075911E342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9C70-44EF-B1E3-5075911E342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9C70-44EF-B1E3-5075911E342C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9C70-44EF-B1E3-5075911E342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Curva S - Período de Execução</a:t>
            </a:r>
          </a:p>
        </c:rich>
      </c:tx>
      <c:layout>
        <c:manualLayout>
          <c:xMode val="edge"/>
          <c:yMode val="edge"/>
          <c:x val="0.23074226190476191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289682539682538E-2"/>
          <c:y val="0.10142361111111112"/>
          <c:w val="0.94456349206349211"/>
          <c:h val="0.74832222222222222"/>
        </c:manualLayout>
      </c:layout>
      <c:lineChart>
        <c:grouping val="standard"/>
        <c:varyColors val="1"/>
        <c:ser>
          <c:idx val="0"/>
          <c:order val="0"/>
          <c:tx>
            <c:strRef>
              <c:f>'DASHBOARD GERAL DE EXECUÇÃO'!$B$5:$D$5</c:f>
              <c:strCache>
                <c:ptCount val="3"/>
                <c:pt idx="0">
                  <c:v>23/03/2026</c:v>
                </c:pt>
                <c:pt idx="1">
                  <c:v>19/09/2026</c:v>
                </c:pt>
                <c:pt idx="2">
                  <c:v>01/07/2026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2225" cap="rnd">
                <a:solidFill>
                  <a:schemeClr val="accent1"/>
                </a:solidFill>
              </a:ln>
              <a:effectLst>
                <a:glow rad="139700">
                  <a:schemeClr val="accent1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C11B-4B79-A038-71E4D07BA182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2225" cap="rnd">
                <a:solidFill>
                  <a:schemeClr val="accent2"/>
                </a:solidFill>
              </a:ln>
              <a:effectLst>
                <a:glow rad="139700">
                  <a:schemeClr val="accent2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C11B-4B79-A038-71E4D07BA182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2225" cap="rnd">
                <a:solidFill>
                  <a:schemeClr val="accent3"/>
                </a:solidFill>
              </a:ln>
              <a:effectLst>
                <a:glow rad="139700">
                  <a:schemeClr val="accent3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5-C11B-4B79-A038-71E4D07BA182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2225" cap="rnd">
                <a:solidFill>
                  <a:schemeClr val="accent4"/>
                </a:solidFill>
              </a:ln>
              <a:effectLst>
                <a:glow rad="139700">
                  <a:schemeClr val="accent4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7-C11B-4B79-A038-71E4D07BA182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2225" cap="rnd">
                <a:solidFill>
                  <a:schemeClr val="accent5"/>
                </a:solidFill>
              </a:ln>
              <a:effectLst>
                <a:glow rad="139700">
                  <a:schemeClr val="accent5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9-C11B-4B79-A038-71E4D07BA1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GERAL DE EXECUÇÃO'!$E$4:$G$4</c:f>
              <c:strCache>
                <c:ptCount val="3"/>
                <c:pt idx="0">
                  <c:v>Total Dias Realizados</c:v>
                </c:pt>
                <c:pt idx="1">
                  <c:v>Total Dias Previsto</c:v>
                </c:pt>
                <c:pt idx="2">
                  <c:v>Total Dias Restantes</c:v>
                </c:pt>
              </c:strCache>
            </c:strRef>
          </c:cat>
          <c:val>
            <c:numRef>
              <c:f>'DASHBOARD GERAL DE EXECUÇÃO'!$E$5:$G$5</c:f>
              <c:numCache>
                <c:formatCode>General</c:formatCode>
                <c:ptCount val="3"/>
                <c:pt idx="0">
                  <c:v>100</c:v>
                </c:pt>
                <c:pt idx="1">
                  <c:v>180</c:v>
                </c:pt>
                <c:pt idx="2">
                  <c:v>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C11B-4B79-A038-71E4D07BA18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Comparativo de Horas Paradas</a:t>
            </a:r>
            <a:r>
              <a:rPr lang="en-US" baseline="0"/>
              <a:t> em </a:t>
            </a:r>
            <a:r>
              <a:rPr lang="en-US"/>
              <a:t>Dias    </a:t>
            </a:r>
          </a:p>
        </c:rich>
      </c:tx>
      <c:layout>
        <c:manualLayout>
          <c:xMode val="edge"/>
          <c:yMode val="edge"/>
          <c:x val="9.2253019832882505E-2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236811844972784E-2"/>
          <c:y val="0.11764705882352941"/>
          <c:w val="0.90272841764042355"/>
          <c:h val="0.71719149076953614"/>
        </c:manualLayout>
      </c:layout>
      <c:barChart>
        <c:barDir val="col"/>
        <c:grouping val="clustered"/>
        <c:varyColors val="1"/>
        <c:ser>
          <c:idx val="0"/>
          <c:order val="0"/>
          <c:spPr>
            <a:gradFill rotWithShape="1">
              <a:gsLst>
                <a:gs pos="0">
                  <a:schemeClr val="accent6">
                    <a:tint val="77000"/>
                    <a:shade val="51000"/>
                    <a:satMod val="130000"/>
                  </a:schemeClr>
                </a:gs>
                <a:gs pos="80000">
                  <a:schemeClr val="accent6">
                    <a:tint val="77000"/>
                    <a:shade val="93000"/>
                    <a:satMod val="130000"/>
                  </a:schemeClr>
                </a:gs>
                <a:gs pos="100000">
                  <a:schemeClr val="accent6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6">
                      <a:tint val="77000"/>
                      <a:shade val="51000"/>
                      <a:satMod val="130000"/>
                    </a:schemeClr>
                  </a:gs>
                  <a:gs pos="80000">
                    <a:schemeClr val="accent6">
                      <a:tint val="77000"/>
                      <a:shade val="93000"/>
                      <a:satMod val="130000"/>
                    </a:schemeClr>
                  </a:gs>
                  <a:gs pos="100000">
                    <a:schemeClr val="accent6">
                      <a:tint val="77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C5DF-4173-AF06-EA2BB0A9EAD8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6">
                      <a:tint val="77000"/>
                      <a:shade val="51000"/>
                      <a:satMod val="130000"/>
                    </a:schemeClr>
                  </a:gs>
                  <a:gs pos="80000">
                    <a:schemeClr val="accent6">
                      <a:tint val="77000"/>
                      <a:shade val="93000"/>
                      <a:satMod val="130000"/>
                    </a:schemeClr>
                  </a:gs>
                  <a:gs pos="100000">
                    <a:schemeClr val="accent6">
                      <a:tint val="77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C5DF-4173-AF06-EA2BB0A9EAD8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6">
                      <a:tint val="77000"/>
                      <a:shade val="51000"/>
                      <a:satMod val="130000"/>
                    </a:schemeClr>
                  </a:gs>
                  <a:gs pos="80000">
                    <a:schemeClr val="accent6">
                      <a:tint val="77000"/>
                      <a:shade val="93000"/>
                      <a:satMod val="130000"/>
                    </a:schemeClr>
                  </a:gs>
                  <a:gs pos="100000">
                    <a:schemeClr val="accent6">
                      <a:tint val="77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C5DF-4173-AF06-EA2BB0A9EAD8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6">
                      <a:tint val="77000"/>
                      <a:shade val="51000"/>
                      <a:satMod val="130000"/>
                    </a:schemeClr>
                  </a:gs>
                  <a:gs pos="80000">
                    <a:schemeClr val="accent6">
                      <a:tint val="77000"/>
                      <a:shade val="93000"/>
                      <a:satMod val="130000"/>
                    </a:schemeClr>
                  </a:gs>
                  <a:gs pos="100000">
                    <a:schemeClr val="accent6">
                      <a:tint val="77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C5DF-4173-AF06-EA2BB0A9EAD8}"/>
              </c:ext>
            </c:extLst>
          </c:dPt>
          <c:cat>
            <c:multiLvlStrRef>
              <c:f>'DASHBOARD GERAL DE EXECUÇÃO'!$G$9:$H$11</c:f>
              <c:multiLvlStrCache>
                <c:ptCount val="3"/>
                <c:lvl>
                  <c:pt idx="0">
                    <c:v>#REF!</c:v>
                  </c:pt>
                  <c:pt idx="1">
                    <c:v>#REF!</c:v>
                  </c:pt>
                  <c:pt idx="2">
                    <c:v>#REF!</c:v>
                  </c:pt>
                </c:lvl>
                <c:lvl>
                  <c:pt idx="0">
                    <c:v>Horas Totais</c:v>
                  </c:pt>
                  <c:pt idx="1">
                    <c:v>Horas Trabalhadas</c:v>
                  </c:pt>
                  <c:pt idx="2">
                    <c:v>Horas Paradas</c:v>
                  </c:pt>
                </c:lvl>
              </c:multiLvlStrCache>
            </c:multiLvlStrRef>
          </c:cat>
          <c:val>
            <c:numRef>
              <c:f>'DASHBOARD GERAL DE EXECUÇÃO'!$I$9:$I$11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8-C5DF-4173-AF06-EA2BB0A9EAD8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6">
                    <a:shade val="76000"/>
                    <a:shade val="51000"/>
                    <a:satMod val="130000"/>
                  </a:schemeClr>
                </a:gs>
                <a:gs pos="80000">
                  <a:schemeClr val="accent6">
                    <a:shade val="76000"/>
                    <a:shade val="93000"/>
                    <a:satMod val="130000"/>
                  </a:schemeClr>
                </a:gs>
                <a:gs pos="100000">
                  <a:schemeClr val="accent6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'DASHBOARD GERAL DE EXECUÇÃO'!$G$9:$H$11</c:f>
              <c:multiLvlStrCache>
                <c:ptCount val="3"/>
                <c:lvl>
                  <c:pt idx="0">
                    <c:v>#REF!</c:v>
                  </c:pt>
                  <c:pt idx="1">
                    <c:v>#REF!</c:v>
                  </c:pt>
                  <c:pt idx="2">
                    <c:v>#REF!</c:v>
                  </c:pt>
                </c:lvl>
                <c:lvl>
                  <c:pt idx="0">
                    <c:v>Horas Totais</c:v>
                  </c:pt>
                  <c:pt idx="1">
                    <c:v>Horas Trabalhadas</c:v>
                  </c:pt>
                  <c:pt idx="2">
                    <c:v>Horas Paradas</c:v>
                  </c:pt>
                </c:lvl>
              </c:multiLvlStrCache>
            </c:multiLvlStrRef>
          </c:cat>
          <c:val>
            <c:numRef>
              <c:f>'DASHBOARD GERAL DE EXECUÇÃO'!$J$9:$J$11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5DF-4173-AF06-EA2BB0A9E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738273849287615"/>
          <c:y val="0.92909614239396543"/>
          <c:w val="0.21861421703371919"/>
          <c:h val="7.09038576060345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Porcentagem</a:t>
            </a:r>
            <a:r>
              <a:rPr lang="en-US" baseline="0"/>
              <a:t> de Atraso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28303842972009452"/>
          <c:y val="8.2987551867219917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51479874539494"/>
          <c:y val="0.1037344398340249"/>
          <c:w val="0.5929701644437303"/>
          <c:h val="0.8137961904139575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hade val="76000"/>
                      <a:shade val="51000"/>
                      <a:satMod val="130000"/>
                    </a:schemeClr>
                  </a:gs>
                  <a:gs pos="80000">
                    <a:schemeClr val="accent6">
                      <a:shade val="76000"/>
                      <a:shade val="93000"/>
                      <a:satMod val="130000"/>
                    </a:schemeClr>
                  </a:gs>
                  <a:gs pos="100000">
                    <a:schemeClr val="accent6">
                      <a:shade val="7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47E8-4903-95F2-F0DEEA3523C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6">
                      <a:tint val="77000"/>
                      <a:shade val="51000"/>
                      <a:satMod val="130000"/>
                    </a:schemeClr>
                  </a:gs>
                  <a:gs pos="80000">
                    <a:schemeClr val="accent6">
                      <a:tint val="77000"/>
                      <a:shade val="93000"/>
                      <a:satMod val="130000"/>
                    </a:schemeClr>
                  </a:gs>
                  <a:gs pos="100000">
                    <a:schemeClr val="accent6">
                      <a:tint val="77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47E8-4903-95F2-F0DEEA3523C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tint val="30000"/>
                      <a:shade val="51000"/>
                      <a:satMod val="130000"/>
                    </a:schemeClr>
                  </a:gs>
                  <a:gs pos="80000">
                    <a:schemeClr val="accent6">
                      <a:tint val="30000"/>
                      <a:shade val="93000"/>
                      <a:satMod val="130000"/>
                    </a:schemeClr>
                  </a:gs>
                  <a:gs pos="100000">
                    <a:schemeClr val="accent6">
                      <a:tint val="3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47E8-4903-95F2-F0DEEA3523CD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'DASHBOARD GERAL DE EXECUÇÃO'!$E$4:$G$4</c15:sqref>
                  </c15:fullRef>
                </c:ext>
              </c:extLst>
              <c:f>'DASHBOARD GERAL DE EXECUÇÃO'!$F$4:$G$4</c:f>
              <c:strCache>
                <c:ptCount val="2"/>
                <c:pt idx="0">
                  <c:v>Total Dias Previsto</c:v>
                </c:pt>
                <c:pt idx="1">
                  <c:v>Total Dias Restantes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'DASHBOARD GERAL DE EXECUÇÃO'!$E$5:$G$5</c15:sqref>
                  </c15:fullRef>
                </c:ext>
              </c:extLst>
              <c:f>'DASHBOARD GERAL DE EXECUÇÃO'!$F$5:$G$5</c:f>
              <c:numCache>
                <c:formatCode>General</c:formatCode>
                <c:ptCount val="2"/>
                <c:pt idx="0">
                  <c:v>180</c:v>
                </c:pt>
                <c:pt idx="1">
                  <c:v>80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'DASHBOARD GERAL DE EXECUÇÃO'!$E$5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6">
                            <a:shade val="76000"/>
                            <a:shade val="51000"/>
                            <a:satMod val="130000"/>
                          </a:schemeClr>
                        </a:gs>
                        <a:gs pos="80000">
                          <a:schemeClr val="accent6">
                            <a:shade val="76000"/>
                            <a:shade val="93000"/>
                            <a:satMod val="130000"/>
                          </a:schemeClr>
                        </a:gs>
                        <a:gs pos="100000">
                          <a:schemeClr val="accent6">
                            <a:shade val="76000"/>
                            <a:shade val="94000"/>
                            <a:satMod val="135000"/>
                          </a:schemeClr>
                        </a:gs>
                      </a:gsLst>
                      <a:lin ang="16200000" scaled="0"/>
                    </a:gradFill>
                    <a:ln>
                      <a:noFill/>
                    </a:ln>
                    <a:effectLst>
                      <a:outerShdw blurRad="40000" dist="23000" dir="5400000" rotWithShape="0">
                        <a:srgbClr val="000000">
                          <a:alpha val="35000"/>
                        </a:srgbClr>
                      </a:outerShdw>
                    </a:effectLst>
                    <a:scene3d>
                      <a:camera prst="orthographicFront">
                        <a:rot lat="0" lon="0" rev="0"/>
                      </a:camera>
                      <a:lightRig rig="threePt" dir="t">
                        <a:rot lat="0" lon="0" rev="1200000"/>
                      </a:lightRig>
                    </a:scene3d>
                    <a:sp3d>
                      <a:bevelT w="63500" h="25400"/>
                    </a:sp3d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8-47E8-4903-95F2-F0DEEA3523C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Distribuição de</a:t>
            </a:r>
            <a:r>
              <a:rPr lang="en-US" baseline="0"/>
              <a:t> Porcentagens de Horas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1450944871575722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6859494940129"/>
          <c:y val="8.461522149268344E-2"/>
          <c:w val="0.63171885531561378"/>
          <c:h val="0.9153846410101026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hade val="65000"/>
                      <a:shade val="51000"/>
                      <a:satMod val="130000"/>
                    </a:schemeClr>
                  </a:gs>
                  <a:gs pos="80000">
                    <a:schemeClr val="accent6">
                      <a:shade val="65000"/>
                      <a:shade val="93000"/>
                      <a:satMod val="130000"/>
                    </a:schemeClr>
                  </a:gs>
                  <a:gs pos="100000">
                    <a:schemeClr val="accent6">
                      <a:shade val="65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E0F8-4522-BDEC-D628B0CD134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E0F8-4522-BDEC-D628B0CD134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tint val="65000"/>
                      <a:shade val="51000"/>
                      <a:satMod val="130000"/>
                    </a:schemeClr>
                  </a:gs>
                  <a:gs pos="80000">
                    <a:schemeClr val="accent6">
                      <a:tint val="65000"/>
                      <a:shade val="93000"/>
                      <a:satMod val="130000"/>
                    </a:schemeClr>
                  </a:gs>
                  <a:gs pos="100000">
                    <a:schemeClr val="accent6">
                      <a:tint val="65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E0F8-4522-BDEC-D628B0CD134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tint val="30000"/>
                      <a:shade val="51000"/>
                      <a:satMod val="130000"/>
                    </a:schemeClr>
                  </a:gs>
                  <a:gs pos="80000">
                    <a:schemeClr val="accent6">
                      <a:tint val="30000"/>
                      <a:shade val="93000"/>
                      <a:satMod val="130000"/>
                    </a:schemeClr>
                  </a:gs>
                  <a:gs pos="100000">
                    <a:schemeClr val="accent6">
                      <a:tint val="3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E0F8-4522-BDEC-D628B0CD1349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GERAL DE EXECUÇÃO'!$G$18:$G$20</c:f>
              <c:strCache>
                <c:ptCount val="3"/>
                <c:pt idx="0">
                  <c:v>Horas Paradas DH-GEL ENGENHARIA</c:v>
                </c:pt>
                <c:pt idx="1">
                  <c:v>Administrativo/ Falta de Equipe</c:v>
                </c:pt>
                <c:pt idx="2">
                  <c:v>Mecânica / Eletricista</c:v>
                </c:pt>
              </c:strCache>
            </c:strRef>
          </c:cat>
          <c:val>
            <c:numRef>
              <c:f>'DASHBOARD GERAL DE EXECUÇÃO'!$H$18:$H$20</c:f>
              <c:numCache>
                <c:formatCode>[h]:mm</c:formatCode>
                <c:ptCount val="3"/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0F8-4522-BDEC-D628B0CD134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92549619318412923"/>
          <c:w val="0.42936165372447332"/>
          <c:h val="7.45038068158708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419100</xdr:colOff>
      <xdr:row>24</xdr:row>
      <xdr:rowOff>47625</xdr:rowOff>
    </xdr:from>
    <xdr:ext cx="5054600" cy="30734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FD11E86D-FA11-400A-BD6C-946677A61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438150</xdr:colOff>
      <xdr:row>2</xdr:row>
      <xdr:rowOff>25400</xdr:rowOff>
    </xdr:from>
    <xdr:ext cx="4959350" cy="307975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69451BD3-7803-46B3-81BE-738D22DACA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514350</xdr:colOff>
      <xdr:row>4</xdr:row>
      <xdr:rowOff>88900</xdr:rowOff>
    </xdr:from>
    <xdr:ext cx="6490367" cy="3073400"/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32EA1E1D-E744-4173-8223-F182896B24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1060450</xdr:colOff>
      <xdr:row>4</xdr:row>
      <xdr:rowOff>88900</xdr:rowOff>
    </xdr:from>
    <xdr:ext cx="6490367" cy="3073400"/>
    <xdr:graphicFrame macro="">
      <xdr:nvGraphicFramePr>
        <xdr:cNvPr id="9" name="Chart 3">
          <a:extLst>
            <a:ext uri="{FF2B5EF4-FFF2-40B4-BE49-F238E27FC236}">
              <a16:creationId xmlns:a16="http://schemas.microsoft.com/office/drawing/2014/main" id="{278BF2CA-CB05-4F48-9A9D-E93FD1D3C7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1085850</xdr:colOff>
      <xdr:row>22</xdr:row>
      <xdr:rowOff>95250</xdr:rowOff>
    </xdr:from>
    <xdr:ext cx="6490367" cy="3073400"/>
    <xdr:graphicFrame macro="">
      <xdr:nvGraphicFramePr>
        <xdr:cNvPr id="10" name="Chart 3">
          <a:extLst>
            <a:ext uri="{FF2B5EF4-FFF2-40B4-BE49-F238E27FC236}">
              <a16:creationId xmlns:a16="http://schemas.microsoft.com/office/drawing/2014/main" id="{7E2063E8-53E2-474F-B7E4-2402B5A83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546100</xdr:colOff>
      <xdr:row>22</xdr:row>
      <xdr:rowOff>69850</xdr:rowOff>
    </xdr:from>
    <xdr:ext cx="6490367" cy="3073400"/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8E8D4ADD-755A-44A8-8117-021837EAC2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10</xdr:col>
      <xdr:colOff>413544</xdr:colOff>
      <xdr:row>4</xdr:row>
      <xdr:rowOff>71439</xdr:rowOff>
    </xdr:from>
    <xdr:ext cx="6490367" cy="3073400"/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E1390A60-C584-4E4F-8F3B-598CAEBA9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10</xdr:col>
      <xdr:colOff>369094</xdr:colOff>
      <xdr:row>22</xdr:row>
      <xdr:rowOff>71437</xdr:rowOff>
    </xdr:from>
    <xdr:ext cx="6490367" cy="30734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47A3CF-F6AB-43BE-A29E-EFF36E840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952500</xdr:colOff>
      <xdr:row>3</xdr:row>
      <xdr:rowOff>3174</xdr:rowOff>
    </xdr:from>
    <xdr:ext cx="4784725" cy="330200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C877E8-5F45-4E87-85EC-AC35321CC1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736600</xdr:colOff>
      <xdr:row>21</xdr:row>
      <xdr:rowOff>168275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6CA470-73ED-44BA-A932-4E8BEC39FA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285750</xdr:colOff>
      <xdr:row>21</xdr:row>
      <xdr:rowOff>174624</xdr:rowOff>
    </xdr:from>
    <xdr:ext cx="4864100" cy="304482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8DC9D6-20E0-4DD2-A5EB-E7DF48A669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10</xdr:col>
      <xdr:colOff>276225</xdr:colOff>
      <xdr:row>3</xdr:row>
      <xdr:rowOff>177800</xdr:rowOff>
    </xdr:from>
    <xdr:ext cx="4762500" cy="3060700"/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6D1EFDE8-7121-4C0E-92C0-73CF185407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</xdr:col>
      <xdr:colOff>203201</xdr:colOff>
      <xdr:row>21</xdr:row>
      <xdr:rowOff>152400</xdr:rowOff>
    </xdr:from>
    <xdr:ext cx="4756149" cy="2876551"/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DA0CAD1E-8BB8-4754-B802-B79CB4C59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902201</xdr:colOff>
      <xdr:row>9</xdr:row>
      <xdr:rowOff>40271</xdr:rowOff>
    </xdr:from>
    <xdr:ext cx="4673600" cy="3073400"/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8D4259B0-B8CE-4D6C-862F-FF64F0F35B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1888122</xdr:colOff>
      <xdr:row>9</xdr:row>
      <xdr:rowOff>36764</xdr:rowOff>
    </xdr:from>
    <xdr:ext cx="6490367" cy="3073400"/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E2A90AA6-03BC-450E-86BB-D558BA932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270710</xdr:colOff>
      <xdr:row>9</xdr:row>
      <xdr:rowOff>50132</xdr:rowOff>
    </xdr:from>
    <xdr:ext cx="4673600" cy="30734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ED8084-12B6-4B14-9BFE-612F529FF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1047750</xdr:colOff>
      <xdr:row>8</xdr:row>
      <xdr:rowOff>57150</xdr:rowOff>
    </xdr:from>
    <xdr:ext cx="4200525" cy="3060700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5FA9E551-13E4-4CA7-99FE-C957E22AB6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809625</xdr:colOff>
      <xdr:row>8</xdr:row>
      <xdr:rowOff>57150</xdr:rowOff>
    </xdr:from>
    <xdr:ext cx="4200525" cy="3060700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44A26837-B748-4604-B0D6-268D5E4CC8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748393</xdr:colOff>
      <xdr:row>26</xdr:row>
      <xdr:rowOff>60779</xdr:rowOff>
    </xdr:from>
    <xdr:ext cx="4200525" cy="3060700"/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DDE7229B-8298-4A50-93BA-EDFB95F88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</xdr:col>
      <xdr:colOff>1080408</xdr:colOff>
      <xdr:row>26</xdr:row>
      <xdr:rowOff>63501</xdr:rowOff>
    </xdr:from>
    <xdr:ext cx="4200525" cy="3060700"/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D41A0EE9-8409-4C87-900B-0CF101B440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1451644</xdr:colOff>
      <xdr:row>7</xdr:row>
      <xdr:rowOff>125495</xdr:rowOff>
    </xdr:from>
    <xdr:ext cx="5040000" cy="2880000"/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9F0323E2-1B9A-43FC-87ED-B432DDEA53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581358</xdr:colOff>
      <xdr:row>25</xdr:row>
      <xdr:rowOff>161256</xdr:rowOff>
    </xdr:from>
    <xdr:ext cx="4565650" cy="3022600"/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38B141F6-E4A9-4057-95A7-C71BEFA232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721727</xdr:colOff>
      <xdr:row>7</xdr:row>
      <xdr:rowOff>113464</xdr:rowOff>
    </xdr:from>
    <xdr:ext cx="4200525" cy="3060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DBAC24-7556-40EF-9238-3F9CD1ACE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1477544</xdr:colOff>
      <xdr:row>25</xdr:row>
      <xdr:rowOff>167273</xdr:rowOff>
    </xdr:from>
    <xdr:ext cx="4936623" cy="3004218"/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44BC27E3-EA3B-428C-8EEA-3FAB7AACA5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0.65324</cdr:x>
      <cdr:y>0.85647</cdr:y>
    </cdr:from>
    <cdr:to>
      <cdr:x>0.99797</cdr:x>
      <cdr:y>1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0D142FD2-E096-D2E5-11E3-864694BD7480}"/>
            </a:ext>
          </a:extLst>
        </cdr:cNvPr>
        <cdr:cNvSpPr txBox="1"/>
      </cdr:nvSpPr>
      <cdr:spPr>
        <a:xfrm xmlns:a="http://schemas.openxmlformats.org/drawingml/2006/main">
          <a:off x="3224798" y="2573027"/>
          <a:ext cx="1701799" cy="4311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>
              <a:solidFill>
                <a:schemeClr val="bg1"/>
              </a:solidFill>
            </a:rPr>
            <a:t>Administrativo / falta de Equipe</a:t>
          </a:r>
        </a:p>
      </cdr:txBody>
    </cdr:sp>
  </cdr:relSizeAnchor>
  <cdr:relSizeAnchor xmlns:cdr="http://schemas.openxmlformats.org/drawingml/2006/chartDrawing">
    <cdr:from>
      <cdr:x>0.10893</cdr:x>
      <cdr:y>0.1212</cdr:y>
    </cdr:from>
    <cdr:to>
      <cdr:x>0.29416</cdr:x>
      <cdr:y>0.42558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D335B090-F217-48AD-F823-0575AF1CAF3B}"/>
            </a:ext>
          </a:extLst>
        </cdr:cNvPr>
        <cdr:cNvSpPr txBox="1"/>
      </cdr:nvSpPr>
      <cdr:spPr>
        <a:xfrm xmlns:a="http://schemas.openxmlformats.org/drawingml/2006/main">
          <a:off x="537746" y="36412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0.01957</cdr:x>
      <cdr:y>0.12788</cdr:y>
    </cdr:from>
    <cdr:to>
      <cdr:x>0.44202</cdr:x>
      <cdr:y>0.19463</cdr:y>
    </cdr:to>
    <cdr:sp macro="" textlink="">
      <cdr:nvSpPr>
        <cdr:cNvPr id="4" name="CaixaDeTexto 3">
          <a:extLst xmlns:a="http://schemas.openxmlformats.org/drawingml/2006/main">
            <a:ext uri="{FF2B5EF4-FFF2-40B4-BE49-F238E27FC236}">
              <a16:creationId xmlns:a16="http://schemas.microsoft.com/office/drawing/2014/main" id="{34C997F4-BC81-61ED-A730-B5298CA57528}"/>
            </a:ext>
          </a:extLst>
        </cdr:cNvPr>
        <cdr:cNvSpPr txBox="1"/>
      </cdr:nvSpPr>
      <cdr:spPr>
        <a:xfrm xmlns:a="http://schemas.openxmlformats.org/drawingml/2006/main">
          <a:off x="96588" y="384174"/>
          <a:ext cx="2085474" cy="2005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800" kern="1200">
              <a:solidFill>
                <a:schemeClr val="bg1"/>
              </a:solidFill>
            </a:rPr>
            <a:t>Mecânica</a:t>
          </a:r>
          <a:r>
            <a:rPr lang="en-US" sz="800" kern="1200" baseline="0">
              <a:solidFill>
                <a:schemeClr val="bg1"/>
              </a:solidFill>
            </a:rPr>
            <a:t>/Manutenção e Elétrica</a:t>
          </a:r>
          <a:endParaRPr lang="en-US" sz="800" kern="1200">
            <a:solidFill>
              <a:schemeClr val="bg1"/>
            </a:solidFill>
          </a:endParaRP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_Abril" displayName="Tabela_Abril" ref="A3:R36">
  <autoFilter ref="A3:R36" xr:uid="{00000000-0009-0000-0100-000004000000}"/>
  <tableColumns count="18">
    <tableColumn id="1" xr3:uid="{00000000-0010-0000-0300-000001000000}" name="Data"/>
    <tableColumn id="2" xr3:uid="{00000000-0010-0000-0300-000002000000}" name="Projeto"/>
    <tableColumn id="3" xr3:uid="{00000000-0010-0000-0300-000003000000}" name="Equipe"/>
    <tableColumn id="4" xr3:uid="{00000000-0010-0000-0300-000004000000}" name="Equipamento"/>
    <tableColumn id="5" xr3:uid="{00000000-0010-0000-0300-000005000000}" name="Horas Totais" dataDxfId="53"/>
    <tableColumn id="6" xr3:uid="{00000000-0010-0000-0300-000006000000}" name="Horas Trabalhadas" dataDxfId="52"/>
    <tableColumn id="7" xr3:uid="{00000000-0010-0000-0300-000007000000}" name="Horas Paradas" dataDxfId="51"/>
    <tableColumn id="8" xr3:uid="{00000000-0010-0000-0300-000008000000}" name="Parada DH-GEL" dataDxfId="50"/>
    <tableColumn id="9" xr3:uid="{00000000-0010-0000-0300-000009000000}" name="Parada SANEPAR" dataDxfId="49"/>
    <tableColumn id="10" xr3:uid="{00000000-0010-0000-0300-00000A000000}" name="Parada Chuva"/>
    <tableColumn id="19" xr3:uid="{8A89C196-C8C2-4465-A185-4DA064E5E6AA}" name="DTM" dataDxfId="48"/>
    <tableColumn id="18" xr3:uid="{73E765C1-3089-4A22-AB28-3DCDDBED027C}" name="Preparação de canteiro" dataDxfId="47"/>
    <tableColumn id="11" xr3:uid="{00000000-0010-0000-0300-00000B000000}" name="Parada Mecânica" dataDxfId="46"/>
    <tableColumn id="12" xr3:uid="{00000000-0010-0000-0300-00000C000000}" name="Outros Motivos" dataDxfId="45"/>
    <tableColumn id="13" xr3:uid="{00000000-0010-0000-0300-00000D000000}" name="Motivo / Justificativa"/>
    <tableColumn id="14" xr3:uid="{00000000-0010-0000-0300-00000E000000}" name="Responsável"/>
    <tableColumn id="15" xr3:uid="{00000000-0010-0000-0300-00000F000000}" name="Nº RDO"/>
    <tableColumn id="17" xr3:uid="{00000000-0010-0000-0300-000011000000}" name="Observaçõ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0A0EAA-86D6-4D5B-84DB-7961E9DA5A44}" name="Tabela_Abril2" displayName="Tabela_Abril2" ref="A3:S37">
  <autoFilter ref="A3:S37" xr:uid="{00000000-0009-0000-0100-000004000000}"/>
  <tableColumns count="19">
    <tableColumn id="1" xr3:uid="{2CABBD4C-3603-493C-9970-21F3FDFD2363}" name="Data"/>
    <tableColumn id="2" xr3:uid="{828995E2-05F6-46EE-9C49-9B2D106C88AD}" name="Projeto"/>
    <tableColumn id="3" xr3:uid="{62E022A6-069B-4FD9-8C20-A4B9CA37FAAF}" name="Equipe"/>
    <tableColumn id="4" xr3:uid="{0C02D032-8881-45F0-AFA6-20E428D374B3}" name="Equipamento"/>
    <tableColumn id="5" xr3:uid="{53AD77DB-D035-4B06-B0B8-CB75350846F6}" name="Horas Totais" dataDxfId="44"/>
    <tableColumn id="6" xr3:uid="{CE057A87-DA59-4896-862E-5C6DF65957EA}" name="Horas Trabalhadas" dataDxfId="43"/>
    <tableColumn id="7" xr3:uid="{8CC9A1E4-0462-44DD-9275-B2877B4FA29F}" name="Horas Paradas" dataDxfId="42"/>
    <tableColumn id="8" xr3:uid="{1EFB82C7-14B3-44B8-AA78-279235F8D8B9}" name="Parada DH_GEL" dataDxfId="41"/>
    <tableColumn id="9" xr3:uid="{8E74259A-BFA7-4E7E-8BAC-5EA88CCE98E6}" name="Parada SANEPAR" dataDxfId="40"/>
    <tableColumn id="10" xr3:uid="{AA212337-6DBE-47CD-9233-028EE46F8DBA}" name="Parada Chuva"/>
    <tableColumn id="20" xr3:uid="{522BF121-5F12-4579-AA61-1828BB4CB636}" name="DTM"/>
    <tableColumn id="19" xr3:uid="{DAA440B6-CCE8-4FC9-9137-5C4D06EE6A89}" name="Base de Concreto"/>
    <tableColumn id="16" xr3:uid="{5893B07A-475D-4E45-9D1C-04D8DE73FCB4}" name="Aguardando Material"/>
    <tableColumn id="11" xr3:uid="{4FFB05AF-B5B7-4288-8DA9-F3A9D64D1CE9}" name="Parada Mecânica" dataDxfId="39"/>
    <tableColumn id="12" xr3:uid="{1BB223DF-349A-426E-8340-177AD03853F1}" name="Outros Motivos" dataDxfId="38"/>
    <tableColumn id="13" xr3:uid="{B8283D81-66D3-4B39-9307-FFA187F47E4E}" name="Motivo / Justificativa"/>
    <tableColumn id="14" xr3:uid="{B645CA07-8368-454C-8FFA-C3466B1C68F6}" name="Responsável"/>
    <tableColumn id="15" xr3:uid="{2FA42A4D-12B3-4E0D-A93A-0BDC0593F4F3}" name="Nº RDO"/>
    <tableColumn id="17" xr3:uid="{BDB22C26-7B89-4F3E-B5A9-C3BACF5EE9A2}" name="Observaçõ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4FB9137-5D10-4F08-AD56-6279DBAF7378}" name="Tabela_Abril21011" displayName="Tabela_Abril21011" ref="A3:R37">
  <autoFilter ref="A3:R37" xr:uid="{00000000-0009-0000-0100-000004000000}"/>
  <tableColumns count="18">
    <tableColumn id="1" xr3:uid="{3A7DB96D-AFEF-468A-B0BC-4B128A30AF7E}" name="Data"/>
    <tableColumn id="2" xr3:uid="{0AE145F0-1300-478A-A91E-C36CF9D94AD2}" name="Projeto"/>
    <tableColumn id="3" xr3:uid="{5528A455-B493-4550-9DF8-39B5A690C18F}" name="Equipe"/>
    <tableColumn id="4" xr3:uid="{43CB7D1F-C15D-4B25-A669-C7B30D9B9DA1}" name="Equipamento"/>
    <tableColumn id="5" xr3:uid="{B1271280-B4C8-4ED2-9165-5A9CBF44FCA0}" name="Horas Totais" dataDxfId="37"/>
    <tableColumn id="6" xr3:uid="{19F7131F-9A88-458F-85BF-08ACF19DD158}" name="Horas Trabalhadas" dataDxfId="36"/>
    <tableColumn id="7" xr3:uid="{B9853CA6-B7ED-4287-A61B-06FFACEE3CE0}" name="Horas Paradas" dataDxfId="35"/>
    <tableColumn id="8" xr3:uid="{91EA1788-BF0D-4757-ABB5-9196ABE7E9F5}" name="Parada DH_GEL" dataDxfId="34"/>
    <tableColumn id="9" xr3:uid="{C3EC94DD-1DD8-453B-B69F-4ECFB052350B}" name="Parada Sanepar" dataDxfId="33"/>
    <tableColumn id="10" xr3:uid="{6A5F09CC-AE6E-4987-BDCE-EB3A404F95F0}" name="Parada Chuva"/>
    <tableColumn id="19" xr3:uid="{18AEE2B9-3BD4-46CE-8DD4-564F39125100}" name="DTM"/>
    <tableColumn id="18" xr3:uid="{E2A3C02F-2576-4354-94D4-D3F5EA77D107}" name="Base de Concreto"/>
    <tableColumn id="11" xr3:uid="{697D9747-FF81-4DE5-A394-6815D9992B1E}" name="Parada Mecânica" dataDxfId="32"/>
    <tableColumn id="12" xr3:uid="{22E1E2BB-CE81-4E32-8F06-FE7CD6FCFEAA}" name="Outros Motivos" dataDxfId="31"/>
    <tableColumn id="13" xr3:uid="{F4BDC82C-691A-4A22-BE4E-BC5F04E6F255}" name="Motivo / Justificativa"/>
    <tableColumn id="14" xr3:uid="{FCC689AD-416E-4351-B3CA-25E8871CCCC4}" name="Responsável"/>
    <tableColumn id="15" xr3:uid="{AE4B3D36-3BD3-4FA7-A736-C7F94E6DD538}" name="Nº RDO"/>
    <tableColumn id="17" xr3:uid="{1C7F0D07-FBEE-4894-8099-463D58C7E660}" name="Observaçõ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F743899-A0E7-464A-ADAF-7EA97DDE3F53}" name="Tabela_Abril210" displayName="Tabela_Abril210" ref="A3:Q37">
  <autoFilter ref="A3:Q37" xr:uid="{00000000-0009-0000-0100-000004000000}"/>
  <tableColumns count="17">
    <tableColumn id="1" xr3:uid="{2A380DD6-A703-4FBE-8E79-DB76EB7FAC29}" name="Data"/>
    <tableColumn id="2" xr3:uid="{0A062A1E-CEAA-4957-A297-E88F63417F6D}" name="Projeto"/>
    <tableColumn id="3" xr3:uid="{96E840F7-6D72-4FD0-9F67-FCD9903B8E71}" name="Equipe"/>
    <tableColumn id="4" xr3:uid="{4EE41254-C735-4B9F-9752-A4ED214727C0}" name="Equipamento"/>
    <tableColumn id="5" xr3:uid="{1A22B5D7-FEA5-471D-951B-521265A16EB3}" name="Horas Totais" dataDxfId="30"/>
    <tableColumn id="6" xr3:uid="{DB40E616-9929-4CAE-A10A-8CCCEF84BCD7}" name="Horas Trabalhadas" dataDxfId="29"/>
    <tableColumn id="7" xr3:uid="{0BE88CF9-A7F2-4194-8DB5-9B61DDCE7849}" name="Horas Paradas" dataDxfId="28"/>
    <tableColumn id="8" xr3:uid="{E90FEFFF-B280-495F-83BB-717F0D90BD69}" name="Parada DH_GEL" dataDxfId="27"/>
    <tableColumn id="9" xr3:uid="{437D972B-2C17-4791-AAC2-B0D2757A122C}" name="Parada Sanepar" dataDxfId="26"/>
    <tableColumn id="10" xr3:uid="{FD702855-C937-4852-A7E0-F4B0103967C9}" name="Parada Chuva"/>
    <tableColumn id="11" xr3:uid="{2AAB7EAF-DF50-4666-BA90-70BAD6BE9199}" name="Parada Mecânica" dataDxfId="25"/>
    <tableColumn id="12" xr3:uid="{5C68E111-453E-4254-A19A-7E9452802B4E}" name="Outros Motivos" dataDxfId="24"/>
    <tableColumn id="13" xr3:uid="{E005BC84-9A0A-4D20-84B5-9754F5EC6552}" name="Motivo / Justificativa"/>
    <tableColumn id="14" xr3:uid="{16AD9409-8301-45BF-B75C-2EC9A0A428A0}" name="Responsável"/>
    <tableColumn id="15" xr3:uid="{AF2812D8-1D87-4916-BC10-235760055D66}" name="Nº RDO"/>
    <tableColumn id="16" xr3:uid="{B1AF120B-5D3D-43D2-A4EF-976B015C244F}" name="Centro de Custo"/>
    <tableColumn id="17" xr3:uid="{530618FD-4B23-4584-A7D2-70DF513C752B}" name="Observaçõ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2879273-AD96-4B63-B1F5-8AFD587A13AA}" name="Tabela_Abril10" displayName="Tabela_Abril10" ref="A3:J61">
  <autoFilter ref="A3:J61" xr:uid="{00000000-0009-0000-0100-000004000000}"/>
  <tableColumns count="10">
    <tableColumn id="1" xr3:uid="{3A53652A-5D28-4871-B092-855AD669ED7F}" name="Data"/>
    <tableColumn id="2" xr3:uid="{DD0C6761-8EA4-44CD-9817-3FC0A6936354}" name="Projeto"/>
    <tableColumn id="3" xr3:uid="{6BAB74CA-38FA-4D61-A2BA-D4C5437DF903}" name="Equipe"/>
    <tableColumn id="4" xr3:uid="{88EC7F1A-8D6C-45C4-9877-4A7A9D3666BC}" name="Equipamento"/>
    <tableColumn id="5" xr3:uid="{C5A8A61D-BF38-47A9-B7B6-7A3031CABFF5}" name="Horário de:" dataDxfId="23"/>
    <tableColumn id="6" xr3:uid="{5894E57F-A555-4C82-8C4E-D6C5863AF0A3}" name="Horário até:" dataDxfId="22"/>
    <tableColumn id="7" xr3:uid="{3E4E13FD-51EF-487E-BEE9-DDDC5A782C21}" name="Horas Paradas" dataDxfId="21"/>
    <tableColumn id="13" xr3:uid="{29B9FD34-DA95-4A59-B0FE-4FF539D6494C}" name="Motivo / Justificativa"/>
    <tableColumn id="14" xr3:uid="{0A3FE924-2ADA-4547-94D0-D6E6FCD6EAE6}" name="Responsável"/>
    <tableColumn id="17" xr3:uid="{64D8A248-A70B-42D9-9AEC-9E77C40535D8}" name="Horimetro Compressor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18F9EB6-826E-4517-BC98-9F8C9B06F40E}" name="Tabela_Fevereiro88" displayName="Tabela_Fevereiro88" ref="A3:S197">
  <autoFilter ref="A3:S197" xr:uid="{00000000-0009-0000-0100-000002000000}"/>
  <tableColumns count="19">
    <tableColumn id="1" xr3:uid="{32916AEE-483F-49E3-9D5B-DB736FC1C4A0}" name="Data"/>
    <tableColumn id="2" xr3:uid="{85D497BA-DC80-4DA8-9D33-E61CD3EACFC0}" name="Ferramenta"/>
    <tableColumn id="3" xr3:uid="{1458001D-FF88-4626-A5BC-C5ADAAA3E2BD}" name="De:" dataDxfId="68"/>
    <tableColumn id="4" xr3:uid="{764BC857-87C1-4459-9464-D068C1A29A8C}" name="Até:" dataDxfId="67"/>
    <tableColumn id="5" xr3:uid="{4E87BE7C-B40B-414F-A5E8-4FC97A4FBAE3}" name="Quantidade Metros" dataDxfId="66">
      <calculatedColumnFormula>Tabela_Fevereiro88[[#This Row],[Até:]]-Tabela_Fevereiro88[[#This Row],[De:]]</calculatedColumnFormula>
    </tableColumn>
    <tableColumn id="19" xr3:uid="{660C5A61-3AF4-4D2F-8EF2-DB5869C511FD}" name="Viscosidade" dataDxfId="65"/>
    <tableColumn id="16" xr3:uid="{A1629BD9-5805-4273-BCC4-3F309349650A}" name="PH" dataDxfId="64"/>
    <tableColumn id="15" xr3:uid="{DDB07F0D-651F-4176-9B22-E21527169666}" name="Tipo" dataDxfId="63"/>
    <tableColumn id="14" xr3:uid="{08F9B0DD-89DB-41ED-BD42-ED65D0D45E53}" name="De" dataDxfId="62"/>
    <tableColumn id="11" xr3:uid="{CB57AE04-EE41-4E42-A349-D5545926A262}" name="Até" dataDxfId="61"/>
    <tableColumn id="10" xr3:uid="{6F988DB2-595F-476E-81CE-F2903F004C94}" name="Quantidade M Reaberto" dataDxfId="60">
      <calculatedColumnFormula>Tabela_Fevereiro88[[#This Row],[Até]]-Tabela_Fevereiro88[[#This Row],[De]]</calculatedColumnFormula>
    </tableColumn>
    <tableColumn id="6" xr3:uid="{4A045CB3-B5CF-48E9-91CB-18B9F9A67DA1}" name="Horário Inicio" dataDxfId="59"/>
    <tableColumn id="9" xr3:uid="{E0ADCC02-B5AC-4CD5-B6FD-F53B1CBF3396}" name="Horário Término" dataDxfId="58">
      <calculatedColumnFormula>Tabela_Fevereiro88[[#This Row],[Horário Inicio]]/Tabela_Fevereiro88[[#This Row],[Quantidade Metros]]</calculatedColumnFormula>
    </tableColumn>
    <tableColumn id="7" xr3:uid="{031B2B66-0EE2-4B7B-A188-CD021C4B19EB}" name="Tempo Perfuração" dataDxfId="57">
      <calculatedColumnFormula>Tabela_Fevereiro88[[#This Row],[Horário Término]]-Tabela_Fevereiro88[[#This Row],[Horário Inicio]]</calculatedColumnFormula>
    </tableColumn>
    <tableColumn id="18" xr3:uid="{B7308335-E23B-4891-BC6D-0CBE1C918713}" name="Tempo Reabertura" dataDxfId="56"/>
    <tableColumn id="8" xr3:uid="{4F0672A4-A27B-4CA1-AFF5-09B2CF73B014}" name="Tempo de Repasse " dataDxfId="55"/>
    <tableColumn id="12" xr3:uid="{005A2BC4-450F-42BE-B609-9F043744E578}" name="Diesel S10" dataDxfId="54"/>
    <tableColumn id="13" xr3:uid="{D7857B92-62C1-4E10-B9E6-67A2ACF7AB9A}" name="Diesel S500"/>
    <tableColumn id="17" xr3:uid="{96C4DB74-3FF5-4281-A216-1B327840726F}" name="Observação 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854DBBB-0077-468A-A505-E42938650309}" name="Tabela_Fevereiro8" displayName="Tabela_Fevereiro8" ref="A3:K72">
  <autoFilter ref="A3:K72" xr:uid="{00000000-0009-0000-0100-000002000000}"/>
  <tableColumns count="11">
    <tableColumn id="1" xr3:uid="{92E85BA2-C16B-4DFE-8BF2-462E79708140}" name="Data"/>
    <tableColumn id="3" xr3:uid="{D5456E7C-11C1-4CDE-AE05-1771B0D0B34F}" name="CMC"/>
    <tableColumn id="8" xr3:uid="{276EB544-DA42-43D9-8806-93EA91B7B5FE}" name="Goma Xantana" dataDxfId="20"/>
    <tableColumn id="10" xr3:uid="{8595B310-3277-4E02-A750-D063BDCBB0A5}" name="Barilha" dataDxfId="19"/>
    <tableColumn id="7" xr3:uid="{F7FE50D5-A043-4AFB-B487-06FF04877B06}" name="Soda Caústica" dataDxfId="18"/>
    <tableColumn id="11" xr3:uid="{276E6F16-2C95-4CDD-A263-5212AFE240B4}" name="Hexa T" dataDxfId="17"/>
    <tableColumn id="4" xr3:uid="{F1B305BF-0F0F-41E7-A060-FD1C5C4CA71D}" name="Bentonita"/>
    <tableColumn id="2" xr3:uid="{560244A8-A8A1-4B81-BB37-60BF2665E595}" name="Hipoclorito de Sódio (lts)"/>
    <tableColumn id="6" xr3:uid="{0541281B-EC3C-4999-98F1-8C014FCCF489}" name="Óleo de Martelo"/>
    <tableColumn id="5" xr3:uid="{5EAADC05-5C0E-46E5-995B-0CACBCC423B2}" name="Sabão de Martelo"/>
    <tableColumn id="13" xr3:uid="{AE7745F5-EF2B-4D2E-A992-59D780A34904}" name="Motivo / Justificativ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854CF7C-59DB-4E1A-9F4F-A36B8B20DC2D}" name="Tabela_Fevereiro7" displayName="Tabela_Fevereiro7" ref="A3:Q35">
  <autoFilter ref="A3:Q35" xr:uid="{00000000-0009-0000-0100-000002000000}"/>
  <tableColumns count="17">
    <tableColumn id="1" xr3:uid="{AF7A943F-F996-43B9-A6F2-03A62315CF21}" name="Data"/>
    <tableColumn id="2" xr3:uid="{6C7DE26E-D19C-4409-B88D-B7BB63658901}" name="Projeto"/>
    <tableColumn id="3" xr3:uid="{71188068-2AAB-44A6-876D-2C718C4E7168}" name="Fornecedor"/>
    <tableColumn id="4" xr3:uid="{EE9EA0F0-0655-4B54-9695-DF4EF8D5D046}" name="Equipamento"/>
    <tableColumn id="5" xr3:uid="{5390BB78-F77C-4F2E-BBDF-9D0BEA46E3AF}" name="Previsto" dataDxfId="16"/>
    <tableColumn id="6" xr3:uid="{88E60743-0FCA-4C87-A441-4F1709843EFB}" name="Realizado" dataDxfId="15"/>
    <tableColumn id="7" xr3:uid="{80F482F4-FEF1-4B99-8790-A2F545469F75}" name="Dias imprevisto" dataDxfId="14"/>
    <tableColumn id="15" xr3:uid="{D873EFCA-05B4-4069-8D43-BAB54F99E009}" name="Porcentagem %" dataDxfId="13">
      <calculatedColumnFormula>Tabela_Fevereiro7[[#This Row],[Realizado]]/Tabela_Fevereiro7[[#This Row],[Previsto]]</calculatedColumnFormula>
    </tableColumn>
    <tableColumn id="11" xr3:uid="{0C290B92-08F5-4F5F-8A7A-8A35BC12C15D}" name="Status" dataDxfId="12">
      <calculatedColumnFormula>IF(F4&gt;E4,"ESTOURADO",IF(F2&gt;=0.7,"ALERTA","OK"))</calculatedColumnFormula>
    </tableColumn>
    <tableColumn id="8" xr3:uid="{44025EF6-D1E6-4829-A0F3-22FD0831FA59}" name="Parada DH_GEL" dataDxfId="11"/>
    <tableColumn id="9" xr3:uid="{0FDF838C-3643-4F2E-AA83-060EE9312771}" name="Parada SANEPAR" dataDxfId="10"/>
    <tableColumn id="10" xr3:uid="{BBD9EC7D-CC7A-4B16-AF2D-B8965DF0E94E}" name="Parada Chuva" dataDxfId="9"/>
    <tableColumn id="12" xr3:uid="{90F4024D-A965-4556-AE21-FC124F0A4EDE}" name="Outros Motivos" dataDxfId="8"/>
    <tableColumn id="13" xr3:uid="{AF68CA45-3033-4603-A4F9-A9A458020EFB}" name="Motivo / Justificativa"/>
    <tableColumn id="14" xr3:uid="{4D5FA6AC-DF9C-4C96-8846-ABD0A0AA1987}" name="Horario Inicial"/>
    <tableColumn id="17" xr3:uid="{45B6CF68-F002-45B7-B507-D1F0527A9AEB}" name="Horario Final"/>
    <tableColumn id="16" xr3:uid="{B0B2BB32-A9B3-4E73-AC87-2AFA97A15D25}" name="Total Horas dia" dataDxfId="7">
      <calculatedColumnFormula>Tabela_Fevereiro7[[#This Row],[Horario Final]]-Tabela_Fevereiro7[[#This Row],[Horario Inicial]]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5"/>
  <sheetViews>
    <sheetView topLeftCell="A23" zoomScale="80" zoomScaleNormal="80" workbookViewId="0">
      <selection activeCell="F55" sqref="F55"/>
    </sheetView>
  </sheetViews>
  <sheetFormatPr defaultRowHeight="14.5" x14ac:dyDescent="0.35"/>
  <cols>
    <col min="1" max="1" width="14" customWidth="1"/>
    <col min="2" max="2" width="29.08984375" customWidth="1"/>
    <col min="3" max="4" width="18" customWidth="1"/>
    <col min="5" max="5" width="15.08984375" style="7" customWidth="1"/>
    <col min="6" max="6" width="19.81640625" style="7" customWidth="1"/>
    <col min="7" max="7" width="16.81640625" style="7" customWidth="1"/>
    <col min="8" max="8" width="19.1796875" style="7" customWidth="1"/>
    <col min="9" max="9" width="21.08984375" style="7" customWidth="1"/>
    <col min="10" max="12" width="16" customWidth="1"/>
    <col min="13" max="13" width="18" style="7" customWidth="1"/>
    <col min="14" max="14" width="16" style="7" customWidth="1"/>
    <col min="15" max="15" width="52.26953125" customWidth="1"/>
    <col min="16" max="16" width="18" customWidth="1"/>
    <col min="17" max="17" width="12" customWidth="1"/>
    <col min="18" max="18" width="55.453125" customWidth="1"/>
  </cols>
  <sheetData>
    <row r="1" spans="1:18" ht="21" x14ac:dyDescent="0.35">
      <c r="A1" s="195" t="s">
        <v>15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</row>
    <row r="3" spans="1:18" ht="29" x14ac:dyDescent="0.35">
      <c r="A3" s="1" t="s">
        <v>0</v>
      </c>
      <c r="B3" s="1" t="s">
        <v>1</v>
      </c>
      <c r="C3" s="1" t="s">
        <v>2</v>
      </c>
      <c r="D3" s="1" t="s">
        <v>3</v>
      </c>
      <c r="E3" s="5" t="s">
        <v>4</v>
      </c>
      <c r="F3" s="5" t="s">
        <v>5</v>
      </c>
      <c r="G3" s="5" t="s">
        <v>6</v>
      </c>
      <c r="H3" s="5" t="s">
        <v>45</v>
      </c>
      <c r="I3" s="5" t="s">
        <v>146</v>
      </c>
      <c r="J3" s="1" t="s">
        <v>7</v>
      </c>
      <c r="K3" s="1" t="s">
        <v>118</v>
      </c>
      <c r="L3" s="1" t="s">
        <v>168</v>
      </c>
      <c r="M3" s="5" t="s">
        <v>8</v>
      </c>
      <c r="N3" s="5" t="s">
        <v>9</v>
      </c>
      <c r="O3" s="1" t="s">
        <v>10</v>
      </c>
      <c r="P3" s="1" t="s">
        <v>11</v>
      </c>
      <c r="Q3" s="1" t="s">
        <v>12</v>
      </c>
      <c r="R3" s="1" t="s">
        <v>14</v>
      </c>
    </row>
    <row r="4" spans="1:18" x14ac:dyDescent="0.35">
      <c r="A4" s="3">
        <v>46113</v>
      </c>
      <c r="B4" s="2" t="s">
        <v>144</v>
      </c>
      <c r="C4" s="2"/>
      <c r="D4" s="2" t="s">
        <v>145</v>
      </c>
      <c r="E4" s="6"/>
      <c r="F4" s="6"/>
      <c r="G4" s="6">
        <f t="shared" ref="G4:G33" si="0">E4-F4</f>
        <v>0</v>
      </c>
      <c r="H4" s="6"/>
      <c r="I4" s="6"/>
      <c r="J4" s="4"/>
      <c r="K4" s="4"/>
      <c r="L4" s="4"/>
      <c r="M4" s="6"/>
      <c r="N4" s="6">
        <f t="shared" ref="N4:N33" si="1">SUM(H4:M4)</f>
        <v>0</v>
      </c>
      <c r="O4" s="2" t="s">
        <v>143</v>
      </c>
      <c r="P4" s="2"/>
      <c r="Q4" s="2"/>
      <c r="R4" s="2"/>
    </row>
    <row r="5" spans="1:18" x14ac:dyDescent="0.35">
      <c r="A5" s="3">
        <v>46114</v>
      </c>
      <c r="B5" s="2"/>
      <c r="C5" s="2"/>
      <c r="D5" s="2"/>
      <c r="E5" s="6"/>
      <c r="F5" s="6"/>
      <c r="G5" s="6">
        <f t="shared" si="0"/>
        <v>0</v>
      </c>
      <c r="H5" s="6"/>
      <c r="I5" s="6"/>
      <c r="J5" s="2"/>
      <c r="K5" s="4"/>
      <c r="L5" s="2"/>
      <c r="M5" s="6"/>
      <c r="N5" s="6">
        <f t="shared" si="1"/>
        <v>0</v>
      </c>
      <c r="O5" s="2"/>
      <c r="P5" s="2"/>
      <c r="Q5" s="2"/>
      <c r="R5" s="2"/>
    </row>
    <row r="6" spans="1:18" x14ac:dyDescent="0.35">
      <c r="A6" s="3">
        <v>46115</v>
      </c>
      <c r="B6" s="2"/>
      <c r="C6" s="2"/>
      <c r="D6" s="2"/>
      <c r="E6" s="6"/>
      <c r="F6" s="6"/>
      <c r="G6" s="6">
        <f t="shared" si="0"/>
        <v>0</v>
      </c>
      <c r="H6" s="6"/>
      <c r="I6" s="6"/>
      <c r="J6" s="2"/>
      <c r="K6" s="2"/>
      <c r="L6" s="2"/>
      <c r="M6" s="6"/>
      <c r="N6" s="6">
        <f t="shared" si="1"/>
        <v>0</v>
      </c>
      <c r="O6" s="2"/>
      <c r="P6" s="2"/>
      <c r="Q6" s="2"/>
      <c r="R6" s="2"/>
    </row>
    <row r="7" spans="1:18" x14ac:dyDescent="0.35">
      <c r="A7" s="3">
        <v>46116</v>
      </c>
      <c r="B7" s="2"/>
      <c r="C7" s="2"/>
      <c r="D7" s="2"/>
      <c r="E7" s="6"/>
      <c r="F7" s="6"/>
      <c r="G7" s="6">
        <f t="shared" si="0"/>
        <v>0</v>
      </c>
      <c r="H7" s="6"/>
      <c r="I7" s="6"/>
      <c r="J7" s="2"/>
      <c r="K7" s="2"/>
      <c r="L7" s="2"/>
      <c r="M7" s="6"/>
      <c r="N7" s="6">
        <f t="shared" si="1"/>
        <v>0</v>
      </c>
      <c r="O7" s="2"/>
      <c r="P7" s="2"/>
      <c r="Q7" s="2"/>
      <c r="R7" s="2"/>
    </row>
    <row r="8" spans="1:18" x14ac:dyDescent="0.35">
      <c r="A8" s="3">
        <v>46117</v>
      </c>
      <c r="B8" s="2"/>
      <c r="C8" s="2"/>
      <c r="D8" s="2"/>
      <c r="E8" s="6"/>
      <c r="F8" s="6"/>
      <c r="G8" s="6">
        <f t="shared" si="0"/>
        <v>0</v>
      </c>
      <c r="H8" s="6"/>
      <c r="I8" s="6"/>
      <c r="J8" s="2"/>
      <c r="K8" s="2"/>
      <c r="L8" s="2"/>
      <c r="M8" s="6"/>
      <c r="N8" s="6">
        <f t="shared" si="1"/>
        <v>0</v>
      </c>
      <c r="O8" s="2"/>
      <c r="P8" s="2"/>
      <c r="Q8" s="2"/>
      <c r="R8" s="2"/>
    </row>
    <row r="9" spans="1:18" x14ac:dyDescent="0.35">
      <c r="A9" s="3">
        <v>46118</v>
      </c>
      <c r="B9" s="2"/>
      <c r="C9" s="2"/>
      <c r="D9" s="2"/>
      <c r="E9" s="6"/>
      <c r="F9" s="6"/>
      <c r="G9" s="6">
        <f t="shared" si="0"/>
        <v>0</v>
      </c>
      <c r="H9" s="6"/>
      <c r="I9" s="6"/>
      <c r="J9" s="4"/>
      <c r="K9" s="2"/>
      <c r="L9" s="2"/>
      <c r="M9" s="6"/>
      <c r="N9" s="6">
        <f t="shared" si="1"/>
        <v>0</v>
      </c>
      <c r="O9" s="12"/>
      <c r="P9" s="2"/>
      <c r="Q9" s="2"/>
      <c r="R9" s="2"/>
    </row>
    <row r="10" spans="1:18" x14ac:dyDescent="0.35">
      <c r="A10" s="3">
        <v>46119</v>
      </c>
      <c r="B10" s="2"/>
      <c r="C10" s="2"/>
      <c r="D10" s="2"/>
      <c r="E10" s="6"/>
      <c r="F10" s="6"/>
      <c r="G10" s="6">
        <f t="shared" si="0"/>
        <v>0</v>
      </c>
      <c r="H10" s="6"/>
      <c r="I10" s="6"/>
      <c r="J10" s="4"/>
      <c r="K10" s="4"/>
      <c r="L10" s="4"/>
      <c r="M10" s="6"/>
      <c r="N10" s="6">
        <f t="shared" si="1"/>
        <v>0</v>
      </c>
      <c r="O10" s="2"/>
      <c r="P10" s="2"/>
      <c r="Q10" s="2"/>
      <c r="R10" s="2"/>
    </row>
    <row r="11" spans="1:18" x14ac:dyDescent="0.35">
      <c r="A11" s="3">
        <v>46120</v>
      </c>
      <c r="B11" s="2"/>
      <c r="C11" s="2"/>
      <c r="D11" s="2"/>
      <c r="E11" s="6"/>
      <c r="F11" s="6"/>
      <c r="G11" s="6">
        <f t="shared" si="0"/>
        <v>0</v>
      </c>
      <c r="H11" s="6"/>
      <c r="I11" s="6"/>
      <c r="J11" s="2"/>
      <c r="K11" s="2"/>
      <c r="L11" s="2"/>
      <c r="M11" s="6"/>
      <c r="N11" s="6">
        <f t="shared" si="1"/>
        <v>0</v>
      </c>
      <c r="O11" s="2"/>
      <c r="P11" s="2"/>
      <c r="Q11" s="2"/>
      <c r="R11" s="2"/>
    </row>
    <row r="12" spans="1:18" x14ac:dyDescent="0.35">
      <c r="A12" s="3">
        <v>46121</v>
      </c>
      <c r="B12" s="2"/>
      <c r="C12" s="2"/>
      <c r="D12" s="2"/>
      <c r="E12" s="6"/>
      <c r="F12" s="6"/>
      <c r="G12" s="6">
        <f t="shared" si="0"/>
        <v>0</v>
      </c>
      <c r="H12" s="6"/>
      <c r="I12" s="6"/>
      <c r="J12" s="2"/>
      <c r="K12" s="2"/>
      <c r="L12" s="2"/>
      <c r="M12" s="6"/>
      <c r="N12" s="6">
        <f t="shared" si="1"/>
        <v>0</v>
      </c>
      <c r="O12" s="140"/>
      <c r="P12" s="2"/>
      <c r="Q12" s="2"/>
      <c r="R12" s="2"/>
    </row>
    <row r="13" spans="1:18" s="142" customFormat="1" x14ac:dyDescent="0.35">
      <c r="A13" s="3">
        <v>46122</v>
      </c>
      <c r="B13" s="2"/>
      <c r="C13" s="2"/>
      <c r="D13" s="2"/>
      <c r="E13" s="6"/>
      <c r="F13" s="6"/>
      <c r="G13" s="6">
        <f t="shared" si="0"/>
        <v>0</v>
      </c>
      <c r="H13" s="6"/>
      <c r="I13" s="6"/>
      <c r="J13" s="2"/>
      <c r="K13" s="2"/>
      <c r="L13" s="2"/>
      <c r="M13" s="6"/>
      <c r="N13" s="6">
        <f t="shared" si="1"/>
        <v>0</v>
      </c>
      <c r="O13" s="2"/>
      <c r="P13" s="2"/>
      <c r="Q13" s="2"/>
      <c r="R13" s="2"/>
    </row>
    <row r="14" spans="1:18" s="142" customFormat="1" x14ac:dyDescent="0.35">
      <c r="A14" s="3">
        <v>46123</v>
      </c>
      <c r="B14" s="2"/>
      <c r="C14" s="2"/>
      <c r="D14" s="2"/>
      <c r="E14" s="6"/>
      <c r="F14" s="6"/>
      <c r="G14" s="6">
        <f t="shared" si="0"/>
        <v>0</v>
      </c>
      <c r="H14" s="6"/>
      <c r="I14" s="6"/>
      <c r="J14" s="2"/>
      <c r="K14" s="2"/>
      <c r="L14" s="2"/>
      <c r="M14" s="6"/>
      <c r="N14" s="6">
        <f t="shared" si="1"/>
        <v>0</v>
      </c>
      <c r="O14" s="2"/>
      <c r="P14" s="2"/>
      <c r="Q14" s="2"/>
      <c r="R14" s="2"/>
    </row>
    <row r="15" spans="1:18" x14ac:dyDescent="0.35">
      <c r="A15" s="3">
        <v>46124</v>
      </c>
      <c r="B15" s="2"/>
      <c r="C15" s="2"/>
      <c r="D15" s="2"/>
      <c r="E15" s="6"/>
      <c r="F15" s="6"/>
      <c r="G15" s="6">
        <f t="shared" si="0"/>
        <v>0</v>
      </c>
      <c r="H15" s="6"/>
      <c r="I15" s="6"/>
      <c r="J15" s="2"/>
      <c r="K15" s="2"/>
      <c r="L15" s="2"/>
      <c r="M15" s="6"/>
      <c r="N15" s="6">
        <f t="shared" si="1"/>
        <v>0</v>
      </c>
      <c r="O15" s="140"/>
      <c r="P15" s="2"/>
      <c r="Q15" s="2"/>
      <c r="R15" s="2"/>
    </row>
    <row r="16" spans="1:18" x14ac:dyDescent="0.35">
      <c r="A16" s="3">
        <v>46125</v>
      </c>
      <c r="B16" s="2"/>
      <c r="C16" s="2"/>
      <c r="D16" s="2"/>
      <c r="E16" s="6"/>
      <c r="F16" s="6"/>
      <c r="G16" s="6">
        <f t="shared" si="0"/>
        <v>0</v>
      </c>
      <c r="H16" s="6"/>
      <c r="I16" s="6"/>
      <c r="J16" s="2"/>
      <c r="K16" s="2"/>
      <c r="L16" s="2"/>
      <c r="M16" s="6"/>
      <c r="N16" s="6">
        <f t="shared" si="1"/>
        <v>0</v>
      </c>
      <c r="O16" s="2"/>
      <c r="P16" s="2"/>
      <c r="Q16" s="2"/>
      <c r="R16" s="2"/>
    </row>
    <row r="17" spans="1:18" x14ac:dyDescent="0.35">
      <c r="A17" s="3">
        <v>46126</v>
      </c>
      <c r="B17" s="2"/>
      <c r="C17" s="2"/>
      <c r="D17" s="2"/>
      <c r="E17" s="6"/>
      <c r="F17" s="6"/>
      <c r="G17" s="6">
        <f t="shared" si="0"/>
        <v>0</v>
      </c>
      <c r="H17" s="6"/>
      <c r="I17" s="6"/>
      <c r="J17" s="2"/>
      <c r="K17" s="2"/>
      <c r="L17" s="2"/>
      <c r="M17" s="6"/>
      <c r="N17" s="6">
        <f t="shared" si="1"/>
        <v>0</v>
      </c>
      <c r="O17" s="2"/>
      <c r="P17" s="2"/>
      <c r="Q17" s="2"/>
      <c r="R17" s="2"/>
    </row>
    <row r="18" spans="1:18" x14ac:dyDescent="0.35">
      <c r="A18" s="3">
        <v>46127</v>
      </c>
      <c r="B18" s="2"/>
      <c r="C18" s="2"/>
      <c r="D18" s="2"/>
      <c r="E18" s="6"/>
      <c r="F18" s="6"/>
      <c r="G18" s="6">
        <f t="shared" si="0"/>
        <v>0</v>
      </c>
      <c r="H18" s="6"/>
      <c r="I18" s="6"/>
      <c r="J18" s="2"/>
      <c r="K18" s="2"/>
      <c r="L18" s="2"/>
      <c r="M18" s="6"/>
      <c r="N18" s="6">
        <f t="shared" si="1"/>
        <v>0</v>
      </c>
      <c r="O18" s="2"/>
      <c r="P18" s="2"/>
      <c r="Q18" s="2"/>
      <c r="R18" s="2"/>
    </row>
    <row r="19" spans="1:18" x14ac:dyDescent="0.35">
      <c r="A19" s="3">
        <v>46128</v>
      </c>
      <c r="B19" s="2"/>
      <c r="C19" s="2"/>
      <c r="D19" s="2"/>
      <c r="E19" s="6"/>
      <c r="F19" s="6"/>
      <c r="G19" s="6">
        <f t="shared" si="0"/>
        <v>0</v>
      </c>
      <c r="H19" s="6"/>
      <c r="I19" s="6"/>
      <c r="J19" s="2"/>
      <c r="K19" s="2"/>
      <c r="L19" s="2"/>
      <c r="M19" s="6"/>
      <c r="N19" s="6">
        <f t="shared" si="1"/>
        <v>0</v>
      </c>
      <c r="O19" s="2"/>
      <c r="P19" s="2"/>
      <c r="Q19" s="2"/>
      <c r="R19" s="2"/>
    </row>
    <row r="20" spans="1:18" x14ac:dyDescent="0.35">
      <c r="A20" s="3">
        <v>46129</v>
      </c>
      <c r="B20" s="2"/>
      <c r="C20" s="2"/>
      <c r="D20" s="2"/>
      <c r="E20" s="6"/>
      <c r="F20" s="6"/>
      <c r="G20" s="6">
        <f t="shared" si="0"/>
        <v>0</v>
      </c>
      <c r="H20" s="6"/>
      <c r="I20" s="6"/>
      <c r="J20" s="2"/>
      <c r="K20" s="2"/>
      <c r="L20" s="2"/>
      <c r="M20" s="6"/>
      <c r="N20" s="6">
        <f t="shared" si="1"/>
        <v>0</v>
      </c>
      <c r="O20" s="2"/>
      <c r="P20" s="2"/>
      <c r="Q20" s="2"/>
      <c r="R20" s="2"/>
    </row>
    <row r="21" spans="1:18" x14ac:dyDescent="0.35">
      <c r="A21" s="3">
        <v>46130</v>
      </c>
      <c r="B21" s="2"/>
      <c r="C21" s="2"/>
      <c r="D21" s="2"/>
      <c r="E21" s="6"/>
      <c r="F21" s="6"/>
      <c r="G21" s="6">
        <f t="shared" si="0"/>
        <v>0</v>
      </c>
      <c r="H21" s="6"/>
      <c r="I21" s="6"/>
      <c r="J21" s="2"/>
      <c r="K21" s="2"/>
      <c r="L21" s="2"/>
      <c r="M21" s="6"/>
      <c r="N21" s="6">
        <f t="shared" si="1"/>
        <v>0</v>
      </c>
      <c r="O21" s="2"/>
      <c r="P21" s="2"/>
      <c r="Q21" s="2"/>
      <c r="R21" s="2"/>
    </row>
    <row r="22" spans="1:18" x14ac:dyDescent="0.35">
      <c r="A22" s="3">
        <v>46131</v>
      </c>
      <c r="B22" s="2"/>
      <c r="C22" s="2"/>
      <c r="D22" s="2"/>
      <c r="E22" s="6"/>
      <c r="F22" s="6"/>
      <c r="G22" s="6">
        <f t="shared" si="0"/>
        <v>0</v>
      </c>
      <c r="H22" s="6"/>
      <c r="I22" s="6"/>
      <c r="J22" s="2"/>
      <c r="K22" s="2"/>
      <c r="L22" s="2"/>
      <c r="M22" s="6"/>
      <c r="N22" s="6">
        <f t="shared" si="1"/>
        <v>0</v>
      </c>
      <c r="O22" s="2"/>
      <c r="P22" s="2"/>
      <c r="Q22" s="2"/>
      <c r="R22" s="2"/>
    </row>
    <row r="23" spans="1:18" x14ac:dyDescent="0.35">
      <c r="A23" s="3">
        <v>46132</v>
      </c>
      <c r="B23" s="2" t="s">
        <v>140</v>
      </c>
      <c r="C23" s="2" t="s">
        <v>141</v>
      </c>
      <c r="D23" s="2" t="s">
        <v>142</v>
      </c>
      <c r="E23" s="6">
        <v>0.41666666666666669</v>
      </c>
      <c r="F23" s="6">
        <v>0.41666666666666669</v>
      </c>
      <c r="G23" s="6">
        <f t="shared" si="0"/>
        <v>0</v>
      </c>
      <c r="H23" s="6"/>
      <c r="I23" s="6"/>
      <c r="J23" s="2"/>
      <c r="K23" s="4">
        <v>0.41666666666666669</v>
      </c>
      <c r="L23" s="2"/>
      <c r="M23" s="6"/>
      <c r="N23" s="6">
        <f t="shared" si="1"/>
        <v>0.41666666666666669</v>
      </c>
      <c r="O23" s="2" t="s">
        <v>147</v>
      </c>
      <c r="P23" s="2"/>
      <c r="Q23" s="2"/>
      <c r="R23" s="2"/>
    </row>
    <row r="24" spans="1:18" x14ac:dyDescent="0.35">
      <c r="A24" s="3">
        <v>46133</v>
      </c>
      <c r="B24" s="2" t="s">
        <v>140</v>
      </c>
      <c r="C24" s="2" t="s">
        <v>141</v>
      </c>
      <c r="D24" s="2" t="s">
        <v>142</v>
      </c>
      <c r="E24" s="6">
        <v>0.39930555555555558</v>
      </c>
      <c r="F24" s="6">
        <v>0.39930555555555558</v>
      </c>
      <c r="G24" s="6">
        <f t="shared" si="0"/>
        <v>0</v>
      </c>
      <c r="H24" s="6"/>
      <c r="I24" s="6"/>
      <c r="J24" s="2"/>
      <c r="K24" s="4">
        <v>0.16666666666666666</v>
      </c>
      <c r="L24" s="4">
        <v>0.2326388888888889</v>
      </c>
      <c r="M24" s="6"/>
      <c r="N24" s="6">
        <f t="shared" si="1"/>
        <v>0.39930555555555558</v>
      </c>
      <c r="O24" s="2" t="s">
        <v>148</v>
      </c>
      <c r="P24" s="2"/>
      <c r="Q24" s="2"/>
      <c r="R24" s="2"/>
    </row>
    <row r="25" spans="1:18" x14ac:dyDescent="0.35">
      <c r="A25" s="3">
        <v>46134</v>
      </c>
      <c r="B25" s="2" t="s">
        <v>140</v>
      </c>
      <c r="C25" s="2" t="s">
        <v>141</v>
      </c>
      <c r="D25" s="2" t="s">
        <v>142</v>
      </c>
      <c r="E25" s="6">
        <v>0.375</v>
      </c>
      <c r="F25" s="6">
        <v>0.375</v>
      </c>
      <c r="G25" s="6">
        <f t="shared" si="0"/>
        <v>0</v>
      </c>
      <c r="H25" s="6"/>
      <c r="I25" s="6"/>
      <c r="J25" s="2"/>
      <c r="K25" s="2"/>
      <c r="L25" s="4">
        <v>0.375</v>
      </c>
      <c r="M25" s="6"/>
      <c r="N25" s="6">
        <f t="shared" si="1"/>
        <v>0.375</v>
      </c>
      <c r="O25" s="2" t="s">
        <v>149</v>
      </c>
      <c r="P25" s="2"/>
      <c r="Q25" s="2"/>
      <c r="R25" s="2"/>
    </row>
    <row r="26" spans="1:18" x14ac:dyDescent="0.35">
      <c r="A26" s="3">
        <v>46135</v>
      </c>
      <c r="B26" s="2" t="s">
        <v>140</v>
      </c>
      <c r="C26" s="2" t="s">
        <v>141</v>
      </c>
      <c r="D26" s="2" t="s">
        <v>142</v>
      </c>
      <c r="E26" s="6">
        <v>0.375</v>
      </c>
      <c r="F26" s="6">
        <v>0.375</v>
      </c>
      <c r="G26" s="6">
        <f t="shared" si="0"/>
        <v>0</v>
      </c>
      <c r="H26" s="6"/>
      <c r="I26" s="6"/>
      <c r="J26" s="2"/>
      <c r="K26" s="2"/>
      <c r="L26" s="4">
        <v>0.16666666666666666</v>
      </c>
      <c r="M26" s="6"/>
      <c r="N26" s="6">
        <f t="shared" si="1"/>
        <v>0.16666666666666666</v>
      </c>
      <c r="O26" s="2" t="s">
        <v>150</v>
      </c>
      <c r="P26" s="2"/>
      <c r="Q26" s="2"/>
      <c r="R26" s="2" t="s">
        <v>151</v>
      </c>
    </row>
    <row r="27" spans="1:18" x14ac:dyDescent="0.35">
      <c r="A27" s="165">
        <v>46136</v>
      </c>
      <c r="B27" s="85" t="s">
        <v>140</v>
      </c>
      <c r="C27" s="85" t="s">
        <v>141</v>
      </c>
      <c r="D27" s="85" t="s">
        <v>142</v>
      </c>
      <c r="E27" s="81"/>
      <c r="F27" s="81"/>
      <c r="G27" s="81">
        <f t="shared" si="0"/>
        <v>0</v>
      </c>
      <c r="H27" s="81"/>
      <c r="I27" s="81"/>
      <c r="J27" s="85"/>
      <c r="K27" s="85"/>
      <c r="L27" s="85"/>
      <c r="M27" s="81"/>
      <c r="N27" s="81">
        <f t="shared" si="1"/>
        <v>0</v>
      </c>
      <c r="O27" s="85"/>
      <c r="P27" s="85"/>
      <c r="Q27" s="85"/>
      <c r="R27" s="85"/>
    </row>
    <row r="28" spans="1:18" x14ac:dyDescent="0.35">
      <c r="A28" s="165">
        <v>46137</v>
      </c>
      <c r="B28" s="85" t="s">
        <v>140</v>
      </c>
      <c r="C28" s="85" t="s">
        <v>141</v>
      </c>
      <c r="D28" s="85" t="s">
        <v>142</v>
      </c>
      <c r="E28" s="81"/>
      <c r="F28" s="81"/>
      <c r="G28" s="81">
        <f t="shared" si="0"/>
        <v>0</v>
      </c>
      <c r="H28" s="81"/>
      <c r="I28" s="81"/>
      <c r="J28" s="85"/>
      <c r="K28" s="85"/>
      <c r="L28" s="85"/>
      <c r="M28" s="81"/>
      <c r="N28" s="81">
        <f t="shared" si="1"/>
        <v>0</v>
      </c>
      <c r="O28" s="85"/>
      <c r="P28" s="85"/>
      <c r="Q28" s="85"/>
      <c r="R28" s="85"/>
    </row>
    <row r="29" spans="1:18" x14ac:dyDescent="0.35">
      <c r="A29" s="165">
        <v>46138</v>
      </c>
      <c r="B29" s="85" t="s">
        <v>140</v>
      </c>
      <c r="C29" s="85" t="s">
        <v>141</v>
      </c>
      <c r="D29" s="85" t="s">
        <v>142</v>
      </c>
      <c r="E29" s="81"/>
      <c r="F29" s="81"/>
      <c r="G29" s="81">
        <f t="shared" si="0"/>
        <v>0</v>
      </c>
      <c r="H29" s="81"/>
      <c r="I29" s="81"/>
      <c r="J29" s="85"/>
      <c r="K29" s="85"/>
      <c r="L29" s="85"/>
      <c r="M29" s="81"/>
      <c r="N29" s="81">
        <f t="shared" si="1"/>
        <v>0</v>
      </c>
      <c r="O29" s="85"/>
      <c r="P29" s="85"/>
      <c r="Q29" s="85"/>
      <c r="R29" s="85"/>
    </row>
    <row r="30" spans="1:18" x14ac:dyDescent="0.35">
      <c r="A30" s="3">
        <v>46139</v>
      </c>
      <c r="B30" s="2" t="s">
        <v>140</v>
      </c>
      <c r="C30" s="2" t="s">
        <v>141</v>
      </c>
      <c r="D30" s="2" t="s">
        <v>142</v>
      </c>
      <c r="E30" s="6">
        <v>0.45833333333333331</v>
      </c>
      <c r="F30" s="6">
        <v>0.45833333333333331</v>
      </c>
      <c r="G30" s="6">
        <f t="shared" si="0"/>
        <v>0</v>
      </c>
      <c r="H30" s="6"/>
      <c r="I30" s="6"/>
      <c r="J30" s="2"/>
      <c r="K30" s="4">
        <v>0.45833333333333331</v>
      </c>
      <c r="L30" s="2"/>
      <c r="M30" s="6"/>
      <c r="N30" s="6">
        <f t="shared" si="1"/>
        <v>0.45833333333333331</v>
      </c>
      <c r="O30" s="2" t="s">
        <v>152</v>
      </c>
      <c r="P30" s="2"/>
      <c r="Q30" s="2"/>
      <c r="R30" s="2"/>
    </row>
    <row r="31" spans="1:18" x14ac:dyDescent="0.35">
      <c r="A31" s="3">
        <v>46140</v>
      </c>
      <c r="B31" s="2" t="s">
        <v>140</v>
      </c>
      <c r="C31" s="2" t="s">
        <v>141</v>
      </c>
      <c r="D31" s="2" t="s">
        <v>142</v>
      </c>
      <c r="E31" s="6">
        <v>0.46527777777777779</v>
      </c>
      <c r="F31" s="6">
        <v>0.46527777777777779</v>
      </c>
      <c r="G31" s="6">
        <f t="shared" si="0"/>
        <v>0</v>
      </c>
      <c r="H31" s="6"/>
      <c r="I31" s="6"/>
      <c r="J31" s="2"/>
      <c r="K31" s="4">
        <v>0.46527777777777779</v>
      </c>
      <c r="L31" s="2"/>
      <c r="M31" s="6"/>
      <c r="N31" s="6">
        <f t="shared" si="1"/>
        <v>0.46527777777777779</v>
      </c>
      <c r="O31" s="2" t="s">
        <v>152</v>
      </c>
      <c r="P31" s="2"/>
      <c r="Q31" s="2"/>
      <c r="R31" s="2"/>
    </row>
    <row r="32" spans="1:18" x14ac:dyDescent="0.35">
      <c r="A32" s="3">
        <v>46141</v>
      </c>
      <c r="B32" s="2" t="s">
        <v>140</v>
      </c>
      <c r="C32" s="2" t="s">
        <v>141</v>
      </c>
      <c r="D32" s="2" t="s">
        <v>142</v>
      </c>
      <c r="E32" s="6">
        <v>0.47916666666666669</v>
      </c>
      <c r="F32" s="6">
        <v>0.47916666666666669</v>
      </c>
      <c r="G32" s="6">
        <f t="shared" si="0"/>
        <v>0</v>
      </c>
      <c r="H32" s="6"/>
      <c r="I32" s="6"/>
      <c r="J32" s="2"/>
      <c r="K32" s="4">
        <v>0.47916666666666669</v>
      </c>
      <c r="L32" s="2"/>
      <c r="M32" s="6"/>
      <c r="N32" s="6">
        <f t="shared" si="1"/>
        <v>0.47916666666666669</v>
      </c>
      <c r="O32" s="2" t="s">
        <v>155</v>
      </c>
      <c r="P32" s="2"/>
      <c r="Q32" s="2"/>
      <c r="R32" s="2"/>
    </row>
    <row r="33" spans="1:18" x14ac:dyDescent="0.35">
      <c r="A33" s="3">
        <v>46142</v>
      </c>
      <c r="B33" s="2" t="s">
        <v>140</v>
      </c>
      <c r="C33" s="2" t="s">
        <v>141</v>
      </c>
      <c r="D33" s="2" t="s">
        <v>142</v>
      </c>
      <c r="E33" s="6">
        <v>0.47916666666666669</v>
      </c>
      <c r="F33" s="6">
        <v>0.3125</v>
      </c>
      <c r="G33" s="6">
        <f t="shared" si="0"/>
        <v>0.16666666666666669</v>
      </c>
      <c r="H33" s="6"/>
      <c r="I33" s="6"/>
      <c r="J33" s="2"/>
      <c r="K33" s="4">
        <v>0.3125</v>
      </c>
      <c r="L33" s="2"/>
      <c r="M33" s="6"/>
      <c r="N33" s="6">
        <f t="shared" si="1"/>
        <v>0.3125</v>
      </c>
      <c r="O33" s="2" t="s">
        <v>157</v>
      </c>
      <c r="P33" s="2"/>
      <c r="Q33" s="2"/>
      <c r="R33" s="2" t="s">
        <v>159</v>
      </c>
    </row>
    <row r="34" spans="1:18" x14ac:dyDescent="0.35">
      <c r="A34" s="3"/>
      <c r="B34" s="2"/>
      <c r="C34" s="2"/>
      <c r="D34" s="2"/>
      <c r="E34" s="6"/>
      <c r="F34" s="6"/>
      <c r="G34" s="6"/>
      <c r="H34" s="6"/>
      <c r="I34" s="6"/>
      <c r="J34" s="2"/>
      <c r="K34" s="2"/>
      <c r="L34" s="2"/>
      <c r="M34" s="6"/>
      <c r="N34" s="6"/>
      <c r="O34" s="2"/>
      <c r="P34" s="2"/>
      <c r="Q34" s="2"/>
      <c r="R34" s="2"/>
    </row>
    <row r="35" spans="1:18" x14ac:dyDescent="0.35">
      <c r="A35" s="3"/>
      <c r="B35" s="2"/>
      <c r="C35" s="2"/>
      <c r="D35" s="2"/>
      <c r="E35" s="152" t="s">
        <v>22</v>
      </c>
      <c r="F35" s="152" t="s">
        <v>22</v>
      </c>
      <c r="G35" s="157" t="s">
        <v>22</v>
      </c>
      <c r="H35" s="152" t="s">
        <v>22</v>
      </c>
      <c r="I35" s="152" t="s">
        <v>22</v>
      </c>
      <c r="J35" s="153" t="s">
        <v>22</v>
      </c>
      <c r="K35" s="153" t="s">
        <v>22</v>
      </c>
      <c r="L35" s="153" t="s">
        <v>22</v>
      </c>
      <c r="M35" s="118" t="s">
        <v>22</v>
      </c>
      <c r="N35" s="6"/>
      <c r="O35" s="2"/>
      <c r="P35" s="2"/>
      <c r="Q35" s="2"/>
      <c r="R35" s="2"/>
    </row>
    <row r="36" spans="1:18" x14ac:dyDescent="0.35">
      <c r="A36" s="2"/>
      <c r="B36" s="2"/>
      <c r="C36" s="2"/>
      <c r="D36" s="2"/>
      <c r="E36" s="152">
        <f>SUM(E4:E33)</f>
        <v>3.4479166666666665</v>
      </c>
      <c r="F36" s="152">
        <f>SUM(F4:F33)</f>
        <v>3.28125</v>
      </c>
      <c r="G36" s="118">
        <f>SUM(G4:G33)</f>
        <v>0.16666666666666669</v>
      </c>
      <c r="H36" s="152">
        <f>SUM(H4:H33)</f>
        <v>0</v>
      </c>
      <c r="I36" s="152">
        <f t="shared" ref="I36:J36" si="2">SUM(I4:I33)</f>
        <v>0</v>
      </c>
      <c r="J36" s="154">
        <f t="shared" si="2"/>
        <v>0</v>
      </c>
      <c r="K36" s="152">
        <f>SUM(K4:K33)</f>
        <v>2.2986111111111116</v>
      </c>
      <c r="L36" s="152">
        <f>SUM(L4:L33)</f>
        <v>0.77430555555555547</v>
      </c>
      <c r="M36" s="11">
        <f>SUM(M4:M33)</f>
        <v>0</v>
      </c>
      <c r="N36" s="6"/>
      <c r="O36" s="2"/>
      <c r="P36" s="2"/>
      <c r="Q36" s="2"/>
      <c r="R36" s="2"/>
    </row>
    <row r="37" spans="1:18" ht="20" customHeight="1" x14ac:dyDescent="0.35"/>
    <row r="38" spans="1:18" ht="18.5" x14ac:dyDescent="0.45">
      <c r="A38" s="199" t="s">
        <v>36</v>
      </c>
      <c r="B38" s="200"/>
      <c r="C38" s="200"/>
      <c r="D38" s="200"/>
      <c r="E38" s="200"/>
      <c r="F38" s="200"/>
      <c r="G38" s="200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</row>
    <row r="39" spans="1:18" x14ac:dyDescent="0.35">
      <c r="A39" s="7"/>
      <c r="B39" s="7"/>
      <c r="C39" s="7"/>
      <c r="D39" s="7"/>
      <c r="J39" s="7"/>
      <c r="K39" s="7"/>
      <c r="L39" s="7"/>
      <c r="O39" s="7"/>
    </row>
    <row r="40" spans="1:18" x14ac:dyDescent="0.35">
      <c r="A40" s="14" t="s">
        <v>24</v>
      </c>
      <c r="B40" s="6"/>
      <c r="C40" s="6">
        <f>SUM(E4:E33)</f>
        <v>3.4479166666666665</v>
      </c>
      <c r="E40" s="6">
        <f>C40/11</f>
        <v>0.31344696969696967</v>
      </c>
      <c r="F40" s="6" t="s">
        <v>25</v>
      </c>
      <c r="J40" s="7"/>
      <c r="K40" s="7"/>
      <c r="L40" s="7"/>
      <c r="O40" s="7"/>
    </row>
    <row r="41" spans="1:18" x14ac:dyDescent="0.35">
      <c r="A41" s="14" t="s">
        <v>26</v>
      </c>
      <c r="B41" s="6"/>
      <c r="C41" s="6">
        <f>SUM(F4:F33)</f>
        <v>3.28125</v>
      </c>
      <c r="E41" s="6">
        <f t="shared" ref="E41:E46" si="3">C41/11</f>
        <v>0.29829545454545453</v>
      </c>
      <c r="F41" s="6" t="s">
        <v>25</v>
      </c>
      <c r="J41" s="7"/>
      <c r="K41" s="7"/>
      <c r="L41" s="7"/>
      <c r="O41" s="7"/>
    </row>
    <row r="42" spans="1:18" x14ac:dyDescent="0.35">
      <c r="A42" s="14" t="s">
        <v>27</v>
      </c>
      <c r="B42" s="6"/>
      <c r="C42" s="6">
        <f>SUM(G4:G33)</f>
        <v>0.16666666666666669</v>
      </c>
      <c r="E42" s="6">
        <f t="shared" si="3"/>
        <v>1.5151515151515154E-2</v>
      </c>
      <c r="F42" s="6" t="s">
        <v>25</v>
      </c>
      <c r="J42" s="7"/>
      <c r="K42" s="7"/>
      <c r="L42" s="7"/>
      <c r="O42" s="7"/>
    </row>
    <row r="43" spans="1:18" x14ac:dyDescent="0.35">
      <c r="A43" s="14" t="s">
        <v>50</v>
      </c>
      <c r="B43" s="6"/>
      <c r="C43" s="6">
        <f>SUM(H4:H33)</f>
        <v>0</v>
      </c>
      <c r="E43" s="6">
        <f t="shared" si="3"/>
        <v>0</v>
      </c>
      <c r="F43" s="6" t="s">
        <v>25</v>
      </c>
      <c r="J43" s="7"/>
      <c r="K43" s="7"/>
      <c r="L43" s="7"/>
      <c r="O43" s="7"/>
    </row>
    <row r="44" spans="1:18" x14ac:dyDescent="0.35">
      <c r="A44" s="14" t="s">
        <v>156</v>
      </c>
      <c r="B44" s="6"/>
      <c r="C44" s="6">
        <f>SUM(I4:I33)</f>
        <v>0</v>
      </c>
      <c r="E44" s="6">
        <f t="shared" si="3"/>
        <v>0</v>
      </c>
      <c r="F44" s="6" t="s">
        <v>25</v>
      </c>
      <c r="J44" s="7"/>
      <c r="K44" s="7"/>
      <c r="L44" s="7"/>
      <c r="O44" s="7"/>
    </row>
    <row r="45" spans="1:18" x14ac:dyDescent="0.35">
      <c r="A45" s="14" t="s">
        <v>28</v>
      </c>
      <c r="B45" s="6"/>
      <c r="C45" s="6">
        <f>SUM(J4:J33)</f>
        <v>0</v>
      </c>
      <c r="E45" s="6">
        <f t="shared" si="3"/>
        <v>0</v>
      </c>
      <c r="F45" s="6" t="s">
        <v>25</v>
      </c>
      <c r="J45" s="7"/>
      <c r="K45" s="7"/>
      <c r="L45" s="7"/>
      <c r="O45" s="7"/>
    </row>
    <row r="46" spans="1:18" x14ac:dyDescent="0.35">
      <c r="A46" s="14" t="s">
        <v>29</v>
      </c>
      <c r="B46" s="6"/>
      <c r="C46" s="6">
        <f>SUM(M4:M33)</f>
        <v>0</v>
      </c>
      <c r="E46" s="6">
        <f t="shared" si="3"/>
        <v>0</v>
      </c>
      <c r="F46" s="6" t="s">
        <v>25</v>
      </c>
      <c r="J46" s="7"/>
      <c r="K46" s="7"/>
      <c r="L46" s="7"/>
      <c r="O46" s="7"/>
    </row>
    <row r="47" spans="1:18" x14ac:dyDescent="0.35">
      <c r="A47" s="15" t="s">
        <v>118</v>
      </c>
      <c r="C47" s="7">
        <f>K36</f>
        <v>2.2986111111111116</v>
      </c>
      <c r="E47" s="7">
        <f>C47/6</f>
        <v>0.38310185185185192</v>
      </c>
      <c r="F47" s="6" t="s">
        <v>25</v>
      </c>
    </row>
    <row r="48" spans="1:18" x14ac:dyDescent="0.35">
      <c r="A48" s="125" t="s">
        <v>168</v>
      </c>
      <c r="B48" s="7"/>
      <c r="C48" s="7">
        <f>L36</f>
        <v>0.77430555555555547</v>
      </c>
      <c r="E48" s="7">
        <f>C48/11</f>
        <v>7.039141414141413E-2</v>
      </c>
      <c r="F48" s="6" t="s">
        <v>25</v>
      </c>
      <c r="J48" s="7"/>
      <c r="K48" s="7"/>
      <c r="L48" s="7"/>
      <c r="O48" s="7"/>
    </row>
    <row r="49" spans="1:15" x14ac:dyDescent="0.35">
      <c r="A49" s="7"/>
      <c r="B49" s="7"/>
      <c r="C49" s="7"/>
      <c r="J49" s="7"/>
      <c r="K49" s="7"/>
      <c r="L49" s="7"/>
      <c r="O49" s="7"/>
    </row>
    <row r="50" spans="1:15" x14ac:dyDescent="0.35">
      <c r="A50" s="15" t="s">
        <v>30</v>
      </c>
      <c r="B50" s="7"/>
      <c r="C50" s="7">
        <f>SUM(F4:F33)</f>
        <v>3.28125</v>
      </c>
      <c r="J50" s="7"/>
      <c r="K50" s="7"/>
      <c r="L50" s="7"/>
      <c r="O50" s="7"/>
    </row>
    <row r="51" spans="1:15" x14ac:dyDescent="0.35">
      <c r="A51" s="7"/>
      <c r="B51" s="7"/>
      <c r="C51" s="7"/>
      <c r="D51" s="7"/>
      <c r="J51" s="7"/>
      <c r="K51" s="7"/>
      <c r="L51" s="7"/>
      <c r="O51" s="7"/>
    </row>
    <row r="52" spans="1:15" x14ac:dyDescent="0.35">
      <c r="A52" s="7"/>
      <c r="B52" s="7"/>
      <c r="C52" s="7"/>
      <c r="D52" s="7"/>
      <c r="J52" s="7"/>
      <c r="K52" s="7"/>
      <c r="L52" s="7"/>
      <c r="O52" s="7"/>
    </row>
    <row r="53" spans="1:15" x14ac:dyDescent="0.35">
      <c r="A53" s="7"/>
      <c r="B53" s="7"/>
      <c r="C53" s="7"/>
      <c r="D53" s="7"/>
      <c r="J53" s="7"/>
      <c r="K53" s="7"/>
      <c r="L53" s="7"/>
      <c r="O53" s="7"/>
    </row>
    <row r="54" spans="1:15" x14ac:dyDescent="0.35">
      <c r="A54" s="7"/>
      <c r="B54" s="7"/>
      <c r="C54" s="7"/>
      <c r="D54" s="7"/>
      <c r="J54" s="7"/>
      <c r="K54" s="7"/>
      <c r="L54" s="7"/>
      <c r="O54" s="7"/>
    </row>
    <row r="55" spans="1:15" x14ac:dyDescent="0.35">
      <c r="A55" s="7"/>
      <c r="B55" s="7"/>
      <c r="C55" s="7"/>
      <c r="D55" s="7"/>
      <c r="J55" s="7"/>
      <c r="K55" s="7"/>
      <c r="L55" s="7"/>
      <c r="O55" s="7"/>
    </row>
  </sheetData>
  <mergeCells count="2">
    <mergeCell ref="A1:R1"/>
    <mergeCell ref="A38:R38"/>
  </mergeCells>
  <phoneticPr fontId="12" type="noConversion"/>
  <conditionalFormatting sqref="G4:G36">
    <cfRule type="expression" dxfId="6" priority="1">
      <formula>G4&gt;4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25DCF-ADBA-4053-9D48-26D6E5C10B27}">
  <dimension ref="A1:DD58"/>
  <sheetViews>
    <sheetView topLeftCell="A18" zoomScale="80" zoomScaleNormal="80" workbookViewId="0">
      <selection activeCell="E51" sqref="E51"/>
    </sheetView>
  </sheetViews>
  <sheetFormatPr defaultRowHeight="14.5" x14ac:dyDescent="0.35"/>
  <cols>
    <col min="1" max="1" width="15.08984375" customWidth="1"/>
    <col min="2" max="2" width="29.08984375" customWidth="1"/>
    <col min="3" max="4" width="18" customWidth="1"/>
    <col min="5" max="5" width="14" style="7" customWidth="1"/>
    <col min="6" max="6" width="18" style="7" customWidth="1"/>
    <col min="7" max="7" width="16.81640625" style="7" customWidth="1"/>
    <col min="8" max="8" width="16" style="7" customWidth="1"/>
    <col min="9" max="9" width="20" style="7" customWidth="1"/>
    <col min="10" max="13" width="16" customWidth="1"/>
    <col min="14" max="14" width="18" style="7" customWidth="1"/>
    <col min="15" max="15" width="16" style="7" customWidth="1"/>
    <col min="16" max="16" width="52.26953125" customWidth="1"/>
    <col min="17" max="17" width="18" customWidth="1"/>
    <col min="18" max="18" width="12" customWidth="1"/>
    <col min="19" max="19" width="114.1796875" customWidth="1"/>
  </cols>
  <sheetData>
    <row r="1" spans="1:108" ht="21" x14ac:dyDescent="0.35">
      <c r="A1" s="195" t="s">
        <v>16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</row>
    <row r="3" spans="1:108" ht="29" x14ac:dyDescent="0.35">
      <c r="A3" s="1" t="s">
        <v>0</v>
      </c>
      <c r="B3" s="1" t="s">
        <v>1</v>
      </c>
      <c r="C3" s="1" t="s">
        <v>2</v>
      </c>
      <c r="D3" s="1" t="s">
        <v>3</v>
      </c>
      <c r="E3" s="5" t="s">
        <v>4</v>
      </c>
      <c r="F3" s="5" t="s">
        <v>5</v>
      </c>
      <c r="G3" s="5" t="s">
        <v>6</v>
      </c>
      <c r="H3" s="5" t="s">
        <v>46</v>
      </c>
      <c r="I3" s="5" t="s">
        <v>146</v>
      </c>
      <c r="J3" s="1" t="s">
        <v>7</v>
      </c>
      <c r="K3" s="1" t="s">
        <v>118</v>
      </c>
      <c r="L3" s="1" t="s">
        <v>122</v>
      </c>
      <c r="M3" s="1" t="s">
        <v>197</v>
      </c>
      <c r="N3" s="5" t="s">
        <v>8</v>
      </c>
      <c r="O3" s="5" t="s">
        <v>9</v>
      </c>
      <c r="P3" s="1" t="s">
        <v>10</v>
      </c>
      <c r="Q3" s="1" t="s">
        <v>11</v>
      </c>
      <c r="R3" s="1" t="s">
        <v>12</v>
      </c>
      <c r="S3" s="1" t="s">
        <v>14</v>
      </c>
    </row>
    <row r="4" spans="1:108" s="142" customFormat="1" x14ac:dyDescent="0.35">
      <c r="A4" s="141">
        <v>46143</v>
      </c>
      <c r="B4" s="8" t="s">
        <v>140</v>
      </c>
      <c r="C4" s="8" t="s">
        <v>141</v>
      </c>
      <c r="D4" s="8" t="s">
        <v>142</v>
      </c>
      <c r="E4" s="166">
        <v>0.4861111111111111</v>
      </c>
      <c r="F4" s="166">
        <v>0.4861111111111111</v>
      </c>
      <c r="G4" s="166">
        <f t="shared" ref="G4:G34" si="0">E4-F4</f>
        <v>0</v>
      </c>
      <c r="H4" s="166"/>
      <c r="I4" s="166"/>
      <c r="J4" s="167"/>
      <c r="K4" s="167">
        <v>0.4861111111111111</v>
      </c>
      <c r="N4" s="166"/>
      <c r="O4" s="166">
        <f t="shared" ref="O4:O34" si="1">SUM(H4:N4)</f>
        <v>0.4861111111111111</v>
      </c>
      <c r="P4" s="169" t="s">
        <v>162</v>
      </c>
      <c r="Q4" s="8"/>
      <c r="R4" s="8"/>
      <c r="S4" s="8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</row>
    <row r="5" spans="1:108" s="142" customFormat="1" x14ac:dyDescent="0.35">
      <c r="A5" s="141">
        <v>46144</v>
      </c>
      <c r="B5" s="8" t="s">
        <v>140</v>
      </c>
      <c r="C5" s="8" t="s">
        <v>141</v>
      </c>
      <c r="D5" s="8" t="s">
        <v>142</v>
      </c>
      <c r="E5" s="166">
        <v>0.45833333333333331</v>
      </c>
      <c r="F5" s="166">
        <v>0.45833333333333331</v>
      </c>
      <c r="G5" s="166">
        <f t="shared" si="0"/>
        <v>0</v>
      </c>
      <c r="H5" s="166"/>
      <c r="I5" s="166"/>
      <c r="J5" s="8"/>
      <c r="K5" s="167">
        <v>0.45833333333333331</v>
      </c>
      <c r="N5" s="166"/>
      <c r="O5" s="166">
        <f t="shared" si="1"/>
        <v>0.45833333333333331</v>
      </c>
      <c r="P5" s="169" t="s">
        <v>161</v>
      </c>
      <c r="Q5" s="8"/>
      <c r="R5" s="8"/>
      <c r="S5" s="8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</row>
    <row r="6" spans="1:108" s="142" customFormat="1" x14ac:dyDescent="0.35">
      <c r="A6" s="141">
        <v>46145</v>
      </c>
      <c r="B6" s="8" t="s">
        <v>140</v>
      </c>
      <c r="C6" s="8" t="s">
        <v>141</v>
      </c>
      <c r="D6" s="8" t="s">
        <v>142</v>
      </c>
      <c r="E6" s="166">
        <v>0.45833333333333331</v>
      </c>
      <c r="F6" s="166">
        <v>0.45833333333333331</v>
      </c>
      <c r="G6" s="166">
        <f t="shared" si="0"/>
        <v>0</v>
      </c>
      <c r="H6" s="166"/>
      <c r="I6" s="166"/>
      <c r="J6" s="8"/>
      <c r="K6" s="167">
        <v>0.45833333333333331</v>
      </c>
      <c r="N6" s="166"/>
      <c r="O6" s="166">
        <f t="shared" si="1"/>
        <v>0.45833333333333331</v>
      </c>
      <c r="P6" s="169" t="s">
        <v>163</v>
      </c>
      <c r="Q6" s="8"/>
      <c r="R6" s="8"/>
      <c r="S6" s="8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</row>
    <row r="7" spans="1:108" s="142" customFormat="1" x14ac:dyDescent="0.35">
      <c r="A7" s="165">
        <v>46146</v>
      </c>
      <c r="B7" s="85" t="s">
        <v>140</v>
      </c>
      <c r="C7" s="85"/>
      <c r="D7" s="85" t="s">
        <v>142</v>
      </c>
      <c r="E7" s="81"/>
      <c r="F7" s="81"/>
      <c r="G7" s="81">
        <f t="shared" si="0"/>
        <v>0</v>
      </c>
      <c r="H7" s="81"/>
      <c r="I7" s="81"/>
      <c r="J7" s="85"/>
      <c r="K7" s="29"/>
      <c r="L7" s="85"/>
      <c r="M7" s="85"/>
      <c r="N7" s="81"/>
      <c r="O7" s="81">
        <f t="shared" si="1"/>
        <v>0</v>
      </c>
      <c r="P7" s="85"/>
      <c r="Q7" s="85"/>
      <c r="R7" s="85"/>
      <c r="S7" s="85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</row>
    <row r="8" spans="1:108" s="24" customFormat="1" x14ac:dyDescent="0.35">
      <c r="A8" s="165">
        <v>46147</v>
      </c>
      <c r="B8" s="85" t="s">
        <v>140</v>
      </c>
      <c r="C8" s="85"/>
      <c r="D8" s="85" t="s">
        <v>142</v>
      </c>
      <c r="E8" s="81"/>
      <c r="F8" s="81"/>
      <c r="G8" s="81">
        <f t="shared" si="0"/>
        <v>0</v>
      </c>
      <c r="H8" s="81"/>
      <c r="I8" s="81"/>
      <c r="J8" s="85"/>
      <c r="K8" s="29"/>
      <c r="L8" s="85"/>
      <c r="M8" s="85"/>
      <c r="N8" s="81"/>
      <c r="O8" s="81">
        <f t="shared" si="1"/>
        <v>0</v>
      </c>
      <c r="P8" s="85"/>
      <c r="Q8" s="85"/>
      <c r="R8" s="85"/>
      <c r="S8" s="85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</row>
    <row r="9" spans="1:108" x14ac:dyDescent="0.35">
      <c r="A9" s="165">
        <v>46148</v>
      </c>
      <c r="B9" s="85" t="s">
        <v>140</v>
      </c>
      <c r="C9" s="85"/>
      <c r="D9" s="85" t="s">
        <v>142</v>
      </c>
      <c r="E9" s="81"/>
      <c r="F9" s="81"/>
      <c r="G9" s="81">
        <f t="shared" si="0"/>
        <v>0</v>
      </c>
      <c r="H9" s="81"/>
      <c r="I9" s="81"/>
      <c r="J9" s="85"/>
      <c r="K9" s="29"/>
      <c r="L9" s="85"/>
      <c r="M9" s="85"/>
      <c r="N9" s="81"/>
      <c r="O9" s="81">
        <f t="shared" si="1"/>
        <v>0</v>
      </c>
      <c r="P9" s="85"/>
      <c r="Q9" s="85"/>
      <c r="R9" s="85"/>
      <c r="S9" s="85"/>
    </row>
    <row r="10" spans="1:108" x14ac:dyDescent="0.35">
      <c r="A10" s="3">
        <v>46149</v>
      </c>
      <c r="B10" s="2" t="s">
        <v>140</v>
      </c>
      <c r="C10" s="2" t="s">
        <v>141</v>
      </c>
      <c r="D10" s="2" t="s">
        <v>142</v>
      </c>
      <c r="E10" s="6">
        <v>0.45833333333333331</v>
      </c>
      <c r="F10" s="6">
        <v>0.45833333333333331</v>
      </c>
      <c r="G10" s="6">
        <f t="shared" ref="G10:G11" si="2">E10-F10</f>
        <v>0</v>
      </c>
      <c r="H10" s="6"/>
      <c r="I10" s="6"/>
      <c r="J10" s="4"/>
      <c r="K10" s="4">
        <v>0.45833333333333331</v>
      </c>
      <c r="N10" s="6"/>
      <c r="O10" s="6">
        <f t="shared" si="1"/>
        <v>0.45833333333333331</v>
      </c>
      <c r="P10" s="168" t="s">
        <v>164</v>
      </c>
      <c r="Q10" s="2"/>
      <c r="R10" s="2"/>
      <c r="S10" s="2"/>
    </row>
    <row r="11" spans="1:108" x14ac:dyDescent="0.35">
      <c r="A11" s="3">
        <v>46150</v>
      </c>
      <c r="B11" s="2" t="s">
        <v>140</v>
      </c>
      <c r="C11" s="2" t="s">
        <v>141</v>
      </c>
      <c r="D11" s="2" t="s">
        <v>142</v>
      </c>
      <c r="E11" s="6">
        <v>0.43055555555555558</v>
      </c>
      <c r="F11" s="6">
        <v>0.40277777777777779</v>
      </c>
      <c r="G11" s="6">
        <f t="shared" si="2"/>
        <v>2.777777777777779E-2</v>
      </c>
      <c r="H11" s="6"/>
      <c r="I11" s="6"/>
      <c r="J11" s="4">
        <v>2.7777777777777776E-2</v>
      </c>
      <c r="K11" s="4">
        <v>0.40277777777777779</v>
      </c>
      <c r="N11" s="6"/>
      <c r="O11" s="6">
        <f t="shared" si="1"/>
        <v>0.43055555555555558</v>
      </c>
      <c r="P11" s="168" t="s">
        <v>165</v>
      </c>
      <c r="Q11" s="2"/>
      <c r="R11" s="2"/>
      <c r="S11" s="168" t="s">
        <v>166</v>
      </c>
    </row>
    <row r="12" spans="1:108" x14ac:dyDescent="0.35">
      <c r="A12" s="3">
        <v>46151</v>
      </c>
      <c r="B12" s="2" t="s">
        <v>140</v>
      </c>
      <c r="C12" s="2" t="s">
        <v>141</v>
      </c>
      <c r="D12" s="2" t="s">
        <v>142</v>
      </c>
      <c r="E12" s="6">
        <v>0.41666666666666669</v>
      </c>
      <c r="F12" s="6">
        <v>9.7222222222222224E-2</v>
      </c>
      <c r="G12" s="6">
        <f t="shared" si="0"/>
        <v>0.31944444444444448</v>
      </c>
      <c r="H12" s="6"/>
      <c r="I12" s="6"/>
      <c r="J12" s="4">
        <v>0.31944444444444442</v>
      </c>
      <c r="K12" s="4">
        <v>9.7222222222222224E-2</v>
      </c>
      <c r="N12" s="6"/>
      <c r="O12" s="6">
        <f t="shared" si="1"/>
        <v>0.41666666666666663</v>
      </c>
      <c r="P12" s="168" t="s">
        <v>165</v>
      </c>
      <c r="Q12" s="2"/>
      <c r="R12" s="2"/>
      <c r="S12" s="168" t="s">
        <v>167</v>
      </c>
    </row>
    <row r="13" spans="1:108" x14ac:dyDescent="0.35">
      <c r="A13" s="3">
        <v>46152</v>
      </c>
      <c r="B13" s="2" t="s">
        <v>140</v>
      </c>
      <c r="C13" s="2" t="s">
        <v>141</v>
      </c>
      <c r="D13" s="2" t="s">
        <v>142</v>
      </c>
      <c r="E13" s="6">
        <v>0.34722222222222221</v>
      </c>
      <c r="F13" s="6">
        <v>0.16666666666666666</v>
      </c>
      <c r="G13" s="6">
        <f t="shared" si="0"/>
        <v>0.18055555555555555</v>
      </c>
      <c r="H13" s="6"/>
      <c r="I13" s="6"/>
      <c r="J13" s="4">
        <v>0.18055555555555555</v>
      </c>
      <c r="K13" s="4">
        <v>0.16666666666666666</v>
      </c>
      <c r="N13" s="6"/>
      <c r="O13" s="6">
        <f t="shared" si="1"/>
        <v>0.34722222222222221</v>
      </c>
      <c r="P13" s="168" t="s">
        <v>165</v>
      </c>
      <c r="Q13" s="2"/>
      <c r="R13" s="2"/>
      <c r="S13" s="2" t="s">
        <v>169</v>
      </c>
    </row>
    <row r="14" spans="1:108" x14ac:dyDescent="0.35">
      <c r="A14" s="3">
        <v>46153</v>
      </c>
      <c r="B14" s="2" t="s">
        <v>140</v>
      </c>
      <c r="C14" s="2" t="s">
        <v>141</v>
      </c>
      <c r="D14" s="2" t="s">
        <v>142</v>
      </c>
      <c r="E14" s="6">
        <v>0.45833333333333331</v>
      </c>
      <c r="F14" s="6">
        <v>0.45833333333333331</v>
      </c>
      <c r="G14" s="6">
        <f t="shared" si="0"/>
        <v>0</v>
      </c>
      <c r="H14" s="6"/>
      <c r="I14" s="6"/>
      <c r="J14" s="2"/>
      <c r="K14" s="2"/>
      <c r="L14" s="2"/>
      <c r="M14" s="2"/>
      <c r="N14" s="6"/>
      <c r="O14" s="6">
        <f t="shared" si="1"/>
        <v>0</v>
      </c>
      <c r="P14" s="2" t="s">
        <v>204</v>
      </c>
      <c r="Q14" s="2"/>
      <c r="R14" s="2"/>
      <c r="S14" s="2" t="s">
        <v>184</v>
      </c>
    </row>
    <row r="15" spans="1:108" ht="43.5" x14ac:dyDescent="0.35">
      <c r="A15" s="3">
        <v>46154</v>
      </c>
      <c r="B15" s="2" t="s">
        <v>140</v>
      </c>
      <c r="C15" s="2" t="s">
        <v>141</v>
      </c>
      <c r="D15" s="2" t="s">
        <v>142</v>
      </c>
      <c r="E15" s="6">
        <v>0.4236111111111111</v>
      </c>
      <c r="F15" s="6">
        <v>0.4236111111111111</v>
      </c>
      <c r="G15" s="6">
        <f t="shared" si="0"/>
        <v>0</v>
      </c>
      <c r="H15" s="6"/>
      <c r="I15" s="6"/>
      <c r="J15" s="2"/>
      <c r="K15" s="4"/>
      <c r="L15" s="2"/>
      <c r="M15" s="2"/>
      <c r="N15" s="6"/>
      <c r="O15" s="6">
        <f t="shared" si="1"/>
        <v>0</v>
      </c>
      <c r="P15" s="140"/>
      <c r="Q15" s="2"/>
      <c r="R15" s="2"/>
      <c r="S15" s="140" t="s">
        <v>189</v>
      </c>
    </row>
    <row r="16" spans="1:108" x14ac:dyDescent="0.35">
      <c r="A16" s="3">
        <v>46155</v>
      </c>
      <c r="B16" s="2" t="s">
        <v>140</v>
      </c>
      <c r="C16" s="2" t="s">
        <v>141</v>
      </c>
      <c r="D16" s="2" t="s">
        <v>142</v>
      </c>
      <c r="E16" s="6">
        <v>0.47916666666666669</v>
      </c>
      <c r="F16" s="6">
        <v>0.47916666666666669</v>
      </c>
      <c r="G16" s="6">
        <f t="shared" si="0"/>
        <v>0</v>
      </c>
      <c r="H16" s="6"/>
      <c r="I16" s="6"/>
      <c r="J16" s="2"/>
      <c r="K16" s="2"/>
      <c r="L16" s="2"/>
      <c r="M16" s="2"/>
      <c r="N16" s="6"/>
      <c r="O16" s="6">
        <f t="shared" si="1"/>
        <v>0</v>
      </c>
      <c r="P16" s="2"/>
      <c r="Q16" s="2"/>
      <c r="R16" s="2"/>
      <c r="S16" s="2" t="s">
        <v>190</v>
      </c>
    </row>
    <row r="17" spans="1:19" x14ac:dyDescent="0.35">
      <c r="A17" s="3">
        <v>46156</v>
      </c>
      <c r="B17" s="2" t="s">
        <v>140</v>
      </c>
      <c r="C17" s="2" t="s">
        <v>141</v>
      </c>
      <c r="D17" s="2" t="s">
        <v>142</v>
      </c>
      <c r="E17" s="6">
        <v>0.46875</v>
      </c>
      <c r="F17" s="6">
        <v>0.46875</v>
      </c>
      <c r="G17" s="6">
        <f t="shared" si="0"/>
        <v>0</v>
      </c>
      <c r="H17" s="6"/>
      <c r="I17" s="6"/>
      <c r="J17" s="2"/>
      <c r="K17" s="2"/>
      <c r="L17" s="2"/>
      <c r="M17" s="2"/>
      <c r="N17" s="6"/>
      <c r="O17" s="6">
        <f t="shared" si="1"/>
        <v>0</v>
      </c>
      <c r="P17" s="2"/>
      <c r="Q17" s="2"/>
      <c r="R17" s="2"/>
      <c r="S17" s="2" t="s">
        <v>191</v>
      </c>
    </row>
    <row r="18" spans="1:19" x14ac:dyDescent="0.35">
      <c r="A18" s="3">
        <v>46157</v>
      </c>
      <c r="B18" s="2" t="s">
        <v>140</v>
      </c>
      <c r="C18" s="2" t="s">
        <v>141</v>
      </c>
      <c r="D18" s="2" t="s">
        <v>142</v>
      </c>
      <c r="E18" s="6">
        <v>0.46805555555555556</v>
      </c>
      <c r="F18" s="6">
        <v>0.46805555555555556</v>
      </c>
      <c r="G18" s="6">
        <f t="shared" si="0"/>
        <v>0</v>
      </c>
      <c r="H18" s="6"/>
      <c r="I18" s="6"/>
      <c r="J18" s="4"/>
      <c r="K18" s="4"/>
      <c r="L18" s="4"/>
      <c r="M18" s="4"/>
      <c r="N18" s="6"/>
      <c r="O18" s="6">
        <f t="shared" si="1"/>
        <v>0</v>
      </c>
      <c r="P18" s="2"/>
      <c r="Q18" s="2"/>
      <c r="R18" s="2"/>
      <c r="S18" s="2" t="s">
        <v>192</v>
      </c>
    </row>
    <row r="19" spans="1:19" x14ac:dyDescent="0.35">
      <c r="A19" s="3">
        <v>46158</v>
      </c>
      <c r="B19" s="2" t="s">
        <v>140</v>
      </c>
      <c r="C19" s="2" t="s">
        <v>141</v>
      </c>
      <c r="D19" s="2" t="s">
        <v>142</v>
      </c>
      <c r="E19" s="6">
        <v>0.4513888888888889</v>
      </c>
      <c r="F19" s="6">
        <v>0.4513888888888889</v>
      </c>
      <c r="G19" s="6">
        <f t="shared" si="0"/>
        <v>0</v>
      </c>
      <c r="H19" s="6"/>
      <c r="I19" s="6"/>
      <c r="J19" s="2"/>
      <c r="K19" s="2"/>
      <c r="L19" s="2"/>
      <c r="M19" s="2"/>
      <c r="N19" s="6"/>
      <c r="O19" s="6">
        <f t="shared" si="1"/>
        <v>0</v>
      </c>
      <c r="P19" s="2"/>
      <c r="Q19" s="2"/>
      <c r="R19" s="2"/>
      <c r="S19" s="2" t="s">
        <v>193</v>
      </c>
    </row>
    <row r="20" spans="1:19" x14ac:dyDescent="0.35">
      <c r="A20" s="3">
        <v>46159</v>
      </c>
      <c r="B20" s="2" t="s">
        <v>140</v>
      </c>
      <c r="C20" s="2" t="s">
        <v>141</v>
      </c>
      <c r="D20" s="2" t="s">
        <v>142</v>
      </c>
      <c r="E20" s="6">
        <v>0.44791666666666669</v>
      </c>
      <c r="F20" s="6">
        <v>0.44791666666666669</v>
      </c>
      <c r="G20" s="6">
        <f t="shared" si="0"/>
        <v>0</v>
      </c>
      <c r="H20" s="6"/>
      <c r="I20" s="6"/>
      <c r="J20" s="2"/>
      <c r="K20" s="2"/>
      <c r="L20" s="2"/>
      <c r="M20" s="2"/>
      <c r="N20" s="6"/>
      <c r="O20" s="6">
        <f t="shared" si="1"/>
        <v>0</v>
      </c>
      <c r="P20" s="2"/>
      <c r="Q20" s="2"/>
      <c r="R20" s="2"/>
      <c r="S20" s="2" t="s">
        <v>194</v>
      </c>
    </row>
    <row r="21" spans="1:19" x14ac:dyDescent="0.35">
      <c r="A21" s="3">
        <v>46160</v>
      </c>
      <c r="B21" s="2" t="s">
        <v>140</v>
      </c>
      <c r="C21" s="2" t="s">
        <v>141</v>
      </c>
      <c r="D21" s="2" t="s">
        <v>142</v>
      </c>
      <c r="E21" s="6">
        <v>0.45833333333333331</v>
      </c>
      <c r="F21" s="6">
        <v>0.45833333333333331</v>
      </c>
      <c r="G21" s="6">
        <f t="shared" si="0"/>
        <v>0</v>
      </c>
      <c r="H21" s="6"/>
      <c r="I21" s="6"/>
      <c r="J21" s="2"/>
      <c r="K21" s="2"/>
      <c r="L21" s="2"/>
      <c r="M21" s="2"/>
      <c r="N21" s="6"/>
      <c r="O21" s="6">
        <f t="shared" si="1"/>
        <v>0</v>
      </c>
      <c r="P21" s="2"/>
      <c r="Q21" s="2"/>
      <c r="R21" s="2"/>
      <c r="S21" s="2" t="s">
        <v>195</v>
      </c>
    </row>
    <row r="22" spans="1:19" x14ac:dyDescent="0.35">
      <c r="A22" s="3">
        <v>46161</v>
      </c>
      <c r="B22" s="2" t="s">
        <v>140</v>
      </c>
      <c r="C22" s="2" t="s">
        <v>141</v>
      </c>
      <c r="D22" s="2" t="s">
        <v>142</v>
      </c>
      <c r="E22" s="6">
        <v>0.44444444444444442</v>
      </c>
      <c r="F22" s="6">
        <v>0.3576388888888889</v>
      </c>
      <c r="G22" s="6">
        <f t="shared" si="0"/>
        <v>8.6805555555555525E-2</v>
      </c>
      <c r="I22" s="6"/>
      <c r="J22" s="2"/>
      <c r="K22" s="2"/>
      <c r="L22" s="4"/>
      <c r="M22" s="6">
        <v>8.6805555555555552E-2</v>
      </c>
      <c r="N22" s="6"/>
      <c r="O22" s="6">
        <f>SUM(I22:N22)</f>
        <v>8.6805555555555552E-2</v>
      </c>
      <c r="P22" s="2" t="s">
        <v>196</v>
      </c>
      <c r="Q22" s="2"/>
      <c r="R22" s="2"/>
      <c r="S22" s="2" t="s">
        <v>200</v>
      </c>
    </row>
    <row r="23" spans="1:19" x14ac:dyDescent="0.35">
      <c r="A23" s="3">
        <v>46162</v>
      </c>
      <c r="B23" s="2" t="s">
        <v>140</v>
      </c>
      <c r="C23" s="2" t="s">
        <v>141</v>
      </c>
      <c r="D23" s="2" t="s">
        <v>142</v>
      </c>
      <c r="E23" s="6">
        <v>0.45833333333333331</v>
      </c>
      <c r="F23" s="6">
        <v>0.40277777777777779</v>
      </c>
      <c r="G23" s="6">
        <f t="shared" si="0"/>
        <v>5.5555555555555525E-2</v>
      </c>
      <c r="H23" s="6"/>
      <c r="I23" s="6"/>
      <c r="J23" s="2"/>
      <c r="K23" s="2"/>
      <c r="L23" s="2"/>
      <c r="M23" s="4">
        <v>5.5555555555555552E-2</v>
      </c>
      <c r="N23" s="6"/>
      <c r="O23" s="6">
        <f t="shared" si="1"/>
        <v>5.5555555555555552E-2</v>
      </c>
      <c r="P23" s="2" t="s">
        <v>199</v>
      </c>
      <c r="Q23" s="2"/>
      <c r="R23" s="2"/>
      <c r="S23" s="2" t="s">
        <v>201</v>
      </c>
    </row>
    <row r="24" spans="1:19" ht="29" x14ac:dyDescent="0.35">
      <c r="A24" s="3">
        <v>46163</v>
      </c>
      <c r="B24" s="2" t="s">
        <v>140</v>
      </c>
      <c r="C24" s="2" t="s">
        <v>141</v>
      </c>
      <c r="D24" s="2" t="s">
        <v>142</v>
      </c>
      <c r="E24" s="6">
        <v>0.41666666666666669</v>
      </c>
      <c r="F24" s="6">
        <v>0.41666666666666669</v>
      </c>
      <c r="G24" s="6">
        <f t="shared" si="0"/>
        <v>0</v>
      </c>
      <c r="H24" s="6"/>
      <c r="I24" s="6"/>
      <c r="J24" s="2"/>
      <c r="K24" s="2"/>
      <c r="L24" s="2"/>
      <c r="M24" s="2"/>
      <c r="N24" s="6"/>
      <c r="O24" s="6">
        <f t="shared" si="1"/>
        <v>0</v>
      </c>
      <c r="Q24" s="2"/>
      <c r="R24" s="2"/>
      <c r="S24" s="140" t="s">
        <v>202</v>
      </c>
    </row>
    <row r="25" spans="1:19" x14ac:dyDescent="0.35">
      <c r="A25" s="3">
        <v>46164</v>
      </c>
      <c r="B25" s="2" t="s">
        <v>140</v>
      </c>
      <c r="C25" s="2" t="s">
        <v>141</v>
      </c>
      <c r="D25" s="2" t="s">
        <v>142</v>
      </c>
      <c r="E25" s="6">
        <v>0.42708333333333331</v>
      </c>
      <c r="F25" s="6">
        <v>0.42708333333333331</v>
      </c>
      <c r="G25" s="6">
        <f t="shared" si="0"/>
        <v>0</v>
      </c>
      <c r="H25" s="6"/>
      <c r="I25" s="6"/>
      <c r="J25" s="2"/>
      <c r="K25" s="2"/>
      <c r="L25" s="2"/>
      <c r="M25" s="2"/>
      <c r="N25" s="6"/>
      <c r="O25" s="6">
        <f t="shared" si="1"/>
        <v>0</v>
      </c>
      <c r="P25" s="2"/>
      <c r="Q25" s="2"/>
      <c r="R25" s="2"/>
      <c r="S25" t="s">
        <v>203</v>
      </c>
    </row>
    <row r="26" spans="1:19" ht="58" x14ac:dyDescent="0.35">
      <c r="A26" s="3">
        <v>46165</v>
      </c>
      <c r="B26" s="2" t="s">
        <v>140</v>
      </c>
      <c r="C26" s="2" t="s">
        <v>141</v>
      </c>
      <c r="D26" s="2" t="s">
        <v>142</v>
      </c>
      <c r="E26" s="6">
        <v>0.4375</v>
      </c>
      <c r="F26" s="6">
        <v>0.35416666666666669</v>
      </c>
      <c r="G26" s="6">
        <f t="shared" si="0"/>
        <v>8.3333333333333315E-2</v>
      </c>
      <c r="H26" s="6"/>
      <c r="I26" s="6"/>
      <c r="J26" s="2"/>
      <c r="K26" s="2"/>
      <c r="L26" s="2"/>
      <c r="M26" s="2"/>
      <c r="N26" s="6">
        <v>8.3333333333333329E-2</v>
      </c>
      <c r="O26" s="6">
        <f t="shared" si="1"/>
        <v>8.3333333333333329E-2</v>
      </c>
      <c r="P26" s="140" t="s">
        <v>205</v>
      </c>
      <c r="Q26" s="2"/>
      <c r="R26" s="2"/>
      <c r="S26" s="140" t="s">
        <v>206</v>
      </c>
    </row>
    <row r="27" spans="1:19" x14ac:dyDescent="0.35">
      <c r="A27" s="3">
        <v>46166</v>
      </c>
      <c r="B27" s="2" t="s">
        <v>140</v>
      </c>
      <c r="C27" s="2" t="s">
        <v>141</v>
      </c>
      <c r="D27" s="2" t="s">
        <v>142</v>
      </c>
      <c r="E27" s="6">
        <v>0.47222222222222221</v>
      </c>
      <c r="F27" s="6">
        <v>0.47222222222222221</v>
      </c>
      <c r="G27" s="6">
        <f t="shared" si="0"/>
        <v>0</v>
      </c>
      <c r="H27" s="6"/>
      <c r="I27" s="6"/>
      <c r="J27" s="2"/>
      <c r="K27" s="2"/>
      <c r="L27" s="2"/>
      <c r="M27" s="2"/>
      <c r="N27" s="6"/>
      <c r="O27" s="6">
        <f t="shared" si="1"/>
        <v>0</v>
      </c>
      <c r="P27" s="2"/>
      <c r="Q27" s="2"/>
      <c r="R27" s="2"/>
      <c r="S27" s="2" t="s">
        <v>207</v>
      </c>
    </row>
    <row r="28" spans="1:19" ht="29" x14ac:dyDescent="0.35">
      <c r="A28" s="3">
        <v>46167</v>
      </c>
      <c r="B28" s="2" t="s">
        <v>140</v>
      </c>
      <c r="C28" s="2" t="s">
        <v>141</v>
      </c>
      <c r="D28" s="2" t="s">
        <v>142</v>
      </c>
      <c r="E28" s="6">
        <v>0.44791666666666669</v>
      </c>
      <c r="F28" s="6">
        <v>0.44791666666666669</v>
      </c>
      <c r="G28" s="6">
        <f t="shared" si="0"/>
        <v>0</v>
      </c>
      <c r="H28" s="6"/>
      <c r="I28" s="6"/>
      <c r="J28" s="2"/>
      <c r="K28" s="2"/>
      <c r="L28" s="2"/>
      <c r="M28" s="2"/>
      <c r="N28" s="6"/>
      <c r="O28" s="6">
        <f t="shared" si="1"/>
        <v>0</v>
      </c>
      <c r="P28" s="2"/>
      <c r="Q28" s="2"/>
      <c r="R28" s="2"/>
      <c r="S28" s="140" t="s">
        <v>209</v>
      </c>
    </row>
    <row r="29" spans="1:19" x14ac:dyDescent="0.35">
      <c r="A29" s="3">
        <v>46168</v>
      </c>
      <c r="B29" s="2" t="s">
        <v>140</v>
      </c>
      <c r="C29" s="2" t="s">
        <v>141</v>
      </c>
      <c r="D29" s="2" t="s">
        <v>142</v>
      </c>
      <c r="E29" s="6">
        <v>0.43055555555555558</v>
      </c>
      <c r="F29" s="6">
        <v>0.43055555555555558</v>
      </c>
      <c r="G29" s="6">
        <f t="shared" si="0"/>
        <v>0</v>
      </c>
      <c r="H29" s="6"/>
      <c r="I29" s="6"/>
      <c r="J29" s="2"/>
      <c r="K29" s="2"/>
      <c r="L29" s="4"/>
      <c r="M29" s="4"/>
      <c r="N29" s="6"/>
      <c r="O29" s="6">
        <f t="shared" si="1"/>
        <v>0</v>
      </c>
      <c r="P29" s="140"/>
      <c r="Q29" s="2"/>
      <c r="R29" s="2"/>
      <c r="S29" s="140" t="s">
        <v>210</v>
      </c>
    </row>
    <row r="30" spans="1:19" x14ac:dyDescent="0.35">
      <c r="A30" s="3">
        <v>46169</v>
      </c>
      <c r="B30" s="2" t="s">
        <v>140</v>
      </c>
      <c r="C30" s="2" t="s">
        <v>141</v>
      </c>
      <c r="D30" s="2" t="s">
        <v>142</v>
      </c>
      <c r="E30" s="6">
        <v>0.4375</v>
      </c>
      <c r="F30" s="6">
        <v>0.4375</v>
      </c>
      <c r="G30" s="6">
        <f>E30-F30</f>
        <v>0</v>
      </c>
      <c r="H30" s="6"/>
      <c r="I30" s="6"/>
      <c r="J30" s="2"/>
      <c r="K30" s="2"/>
      <c r="L30" s="2"/>
      <c r="M30" s="2"/>
      <c r="N30" s="6"/>
      <c r="O30" s="6">
        <f t="shared" si="1"/>
        <v>0</v>
      </c>
      <c r="Q30" s="2"/>
      <c r="R30" s="2"/>
      <c r="S30" t="s">
        <v>212</v>
      </c>
    </row>
    <row r="31" spans="1:19" x14ac:dyDescent="0.35">
      <c r="A31" s="3">
        <v>46170</v>
      </c>
      <c r="B31" s="2" t="s">
        <v>140</v>
      </c>
      <c r="C31" s="2" t="s">
        <v>188</v>
      </c>
      <c r="D31" s="2" t="s">
        <v>142</v>
      </c>
      <c r="E31" s="6">
        <v>1</v>
      </c>
      <c r="F31" s="6">
        <v>1</v>
      </c>
      <c r="G31" s="6">
        <f>E31-F31</f>
        <v>0</v>
      </c>
      <c r="H31" s="6"/>
      <c r="I31" s="6"/>
      <c r="J31" s="2"/>
      <c r="K31" s="2"/>
      <c r="L31" s="2"/>
      <c r="M31" s="2"/>
      <c r="N31" s="6"/>
      <c r="O31" s="6">
        <f t="shared" si="1"/>
        <v>0</v>
      </c>
      <c r="P31" s="2"/>
      <c r="Q31" s="2"/>
      <c r="R31" s="2"/>
      <c r="S31" s="2" t="s">
        <v>213</v>
      </c>
    </row>
    <row r="32" spans="1:19" x14ac:dyDescent="0.35">
      <c r="A32" s="3">
        <v>46171</v>
      </c>
      <c r="B32" s="2" t="s">
        <v>140</v>
      </c>
      <c r="C32" s="2" t="s">
        <v>188</v>
      </c>
      <c r="D32" s="2" t="s">
        <v>142</v>
      </c>
      <c r="E32" s="6">
        <v>1</v>
      </c>
      <c r="F32" s="6">
        <v>0.84722222222222221</v>
      </c>
      <c r="G32" s="6">
        <f t="shared" si="0"/>
        <v>0.15277777777777779</v>
      </c>
      <c r="H32" s="6">
        <v>6.9444444444444448E-2</v>
      </c>
      <c r="I32" s="6"/>
      <c r="J32" s="2"/>
      <c r="K32" s="2"/>
      <c r="L32" s="4"/>
      <c r="M32" s="4"/>
      <c r="N32" s="6">
        <v>8.3333333333333329E-2</v>
      </c>
      <c r="O32" s="6">
        <f t="shared" si="1"/>
        <v>0.15277777777777779</v>
      </c>
      <c r="P32" s="2" t="s">
        <v>215</v>
      </c>
      <c r="Q32" s="2"/>
      <c r="R32" s="2"/>
      <c r="S32" s="2" t="s">
        <v>216</v>
      </c>
    </row>
    <row r="33" spans="1:19" x14ac:dyDescent="0.35">
      <c r="A33" s="3">
        <v>46172</v>
      </c>
      <c r="B33" s="2" t="s">
        <v>140</v>
      </c>
      <c r="C33" s="2" t="s">
        <v>188</v>
      </c>
      <c r="D33" s="2" t="s">
        <v>142</v>
      </c>
      <c r="E33" s="6">
        <v>1</v>
      </c>
      <c r="F33" s="6">
        <v>1</v>
      </c>
      <c r="G33" s="6">
        <f t="shared" si="0"/>
        <v>0</v>
      </c>
      <c r="H33" s="6"/>
      <c r="I33" s="6"/>
      <c r="J33" s="2"/>
      <c r="K33" s="2"/>
      <c r="L33" s="2"/>
      <c r="M33" s="2"/>
      <c r="N33" s="6"/>
      <c r="O33" s="6">
        <f t="shared" si="1"/>
        <v>0</v>
      </c>
      <c r="P33" s="2"/>
      <c r="Q33" s="2"/>
      <c r="R33" s="2"/>
      <c r="S33" s="2" t="s">
        <v>219</v>
      </c>
    </row>
    <row r="34" spans="1:19" x14ac:dyDescent="0.35">
      <c r="A34" s="3">
        <v>46173</v>
      </c>
      <c r="B34" s="2" t="s">
        <v>140</v>
      </c>
      <c r="C34" s="2" t="s">
        <v>188</v>
      </c>
      <c r="D34" s="2" t="s">
        <v>142</v>
      </c>
      <c r="E34" s="7">
        <v>1</v>
      </c>
      <c r="F34" s="7">
        <v>1</v>
      </c>
      <c r="G34" s="6">
        <f t="shared" si="0"/>
        <v>0</v>
      </c>
      <c r="O34" s="6">
        <f t="shared" si="1"/>
        <v>0</v>
      </c>
      <c r="P34" s="2"/>
      <c r="Q34" s="2"/>
      <c r="R34" s="2"/>
      <c r="S34" s="2" t="s">
        <v>220</v>
      </c>
    </row>
    <row r="35" spans="1:19" x14ac:dyDescent="0.35">
      <c r="A35" s="3"/>
      <c r="B35" s="2"/>
      <c r="C35" s="2"/>
      <c r="D35" s="2"/>
      <c r="O35" s="6"/>
      <c r="P35" s="2"/>
      <c r="Q35" s="2"/>
      <c r="R35" s="2"/>
      <c r="S35" s="2"/>
    </row>
    <row r="36" spans="1:19" x14ac:dyDescent="0.35">
      <c r="A36" s="3"/>
      <c r="B36" s="2"/>
      <c r="C36" s="2"/>
      <c r="D36" s="2"/>
      <c r="E36" s="156" t="s">
        <v>22</v>
      </c>
      <c r="F36" s="156" t="s">
        <v>22</v>
      </c>
      <c r="G36" s="156" t="s">
        <v>22</v>
      </c>
      <c r="H36" s="156" t="s">
        <v>22</v>
      </c>
      <c r="I36" s="156" t="s">
        <v>22</v>
      </c>
      <c r="J36" s="155" t="s">
        <v>22</v>
      </c>
      <c r="K36" s="155" t="s">
        <v>22</v>
      </c>
      <c r="L36" s="155" t="s">
        <v>22</v>
      </c>
      <c r="M36" s="155" t="s">
        <v>22</v>
      </c>
      <c r="N36" s="156" t="s">
        <v>22</v>
      </c>
      <c r="O36" s="6"/>
      <c r="P36" s="2"/>
      <c r="Q36" s="2"/>
      <c r="R36" s="2"/>
      <c r="S36" s="2"/>
    </row>
    <row r="37" spans="1:19" x14ac:dyDescent="0.35">
      <c r="A37" s="2"/>
      <c r="B37" s="2"/>
      <c r="C37" s="2"/>
      <c r="D37" s="2"/>
      <c r="E37" s="156">
        <f t="shared" ref="E37:N37" si="3">SUM(E4:E34)</f>
        <v>14.683333333333334</v>
      </c>
      <c r="F37" s="156">
        <f t="shared" si="3"/>
        <v>13.777083333333332</v>
      </c>
      <c r="G37" s="158">
        <f t="shared" si="3"/>
        <v>0.90624999999999989</v>
      </c>
      <c r="H37" s="156">
        <f t="shared" si="3"/>
        <v>6.9444444444444448E-2</v>
      </c>
      <c r="I37" s="156">
        <f t="shared" si="3"/>
        <v>0</v>
      </c>
      <c r="J37" s="156">
        <f t="shared" si="3"/>
        <v>0.52777777777777779</v>
      </c>
      <c r="K37" s="156">
        <f>SUM(K4:K34)</f>
        <v>2.5277777777777777</v>
      </c>
      <c r="L37" s="156">
        <f>SUM(L4:L34)</f>
        <v>0</v>
      </c>
      <c r="M37" s="156">
        <f>SUM(M4:M34)</f>
        <v>0.1423611111111111</v>
      </c>
      <c r="N37" s="156">
        <f t="shared" si="3"/>
        <v>0.16666666666666666</v>
      </c>
      <c r="O37" s="6"/>
      <c r="P37" s="2"/>
      <c r="Q37" s="2"/>
      <c r="R37" s="2"/>
      <c r="S37" s="2"/>
    </row>
    <row r="38" spans="1:19" x14ac:dyDescent="0.35">
      <c r="G38" s="16"/>
      <c r="J38" s="17"/>
      <c r="K38" s="17"/>
      <c r="L38" s="17"/>
      <c r="M38" s="17"/>
    </row>
    <row r="39" spans="1:19" ht="20" customHeight="1" x14ac:dyDescent="0.35"/>
    <row r="40" spans="1:19" ht="18.5" x14ac:dyDescent="0.45">
      <c r="A40" s="197" t="s">
        <v>23</v>
      </c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</row>
    <row r="41" spans="1:19" x14ac:dyDescent="0.35">
      <c r="A41" s="7"/>
      <c r="B41" s="7"/>
      <c r="C41" s="7"/>
      <c r="D41" s="7"/>
      <c r="J41" s="7"/>
      <c r="K41" s="7"/>
      <c r="L41" s="7"/>
      <c r="M41" s="7"/>
      <c r="P41" s="7"/>
    </row>
    <row r="42" spans="1:19" x14ac:dyDescent="0.35">
      <c r="A42" s="14" t="s">
        <v>24</v>
      </c>
      <c r="B42" s="6"/>
      <c r="C42" s="6">
        <f>SUM(E4:E33)</f>
        <v>13.683333333333334</v>
      </c>
      <c r="D42" s="6"/>
      <c r="E42" s="6">
        <f t="shared" ref="E42:E49" si="4">C42/24</f>
        <v>0.57013888888888886</v>
      </c>
      <c r="F42" s="6" t="s">
        <v>25</v>
      </c>
      <c r="J42" s="7"/>
      <c r="K42" s="7"/>
      <c r="L42" s="7"/>
      <c r="M42" s="7"/>
      <c r="P42" s="7"/>
    </row>
    <row r="43" spans="1:19" x14ac:dyDescent="0.35">
      <c r="A43" s="14" t="s">
        <v>26</v>
      </c>
      <c r="B43" s="6"/>
      <c r="C43" s="6">
        <f>SUM(F4:F33)</f>
        <v>12.777083333333332</v>
      </c>
      <c r="D43" s="6"/>
      <c r="E43" s="6">
        <f t="shared" si="4"/>
        <v>0.53237847222222212</v>
      </c>
      <c r="F43" s="6" t="s">
        <v>25</v>
      </c>
      <c r="J43" s="7"/>
      <c r="K43" s="7"/>
      <c r="L43" s="7"/>
      <c r="M43" s="7"/>
      <c r="P43" s="7"/>
    </row>
    <row r="44" spans="1:19" x14ac:dyDescent="0.35">
      <c r="A44" s="14" t="s">
        <v>27</v>
      </c>
      <c r="B44" s="6"/>
      <c r="C44" s="6">
        <f>SUM(G4:G33)</f>
        <v>0.90624999999999989</v>
      </c>
      <c r="D44" s="6"/>
      <c r="E44" s="6">
        <f t="shared" si="4"/>
        <v>3.7760416666666664E-2</v>
      </c>
      <c r="F44" s="6" t="s">
        <v>25</v>
      </c>
      <c r="J44" s="7"/>
      <c r="K44" s="7"/>
      <c r="L44" s="7"/>
      <c r="M44" s="7"/>
      <c r="P44" s="7"/>
    </row>
    <row r="45" spans="1:19" x14ac:dyDescent="0.35">
      <c r="A45" s="14" t="s">
        <v>50</v>
      </c>
      <c r="B45" s="6"/>
      <c r="C45" s="6">
        <f>SUM(H4:H33)</f>
        <v>6.9444444444444448E-2</v>
      </c>
      <c r="D45" s="6"/>
      <c r="E45" s="6">
        <f t="shared" si="4"/>
        <v>2.8935185185185188E-3</v>
      </c>
      <c r="F45" s="6" t="s">
        <v>25</v>
      </c>
      <c r="J45" s="7"/>
      <c r="K45" s="7"/>
      <c r="L45" s="7"/>
      <c r="M45" s="7"/>
      <c r="P45" s="7"/>
    </row>
    <row r="46" spans="1:19" x14ac:dyDescent="0.35">
      <c r="A46" s="14" t="s">
        <v>198</v>
      </c>
      <c r="B46" s="6"/>
      <c r="C46" s="6">
        <f>SUM(I4:I33)</f>
        <v>0</v>
      </c>
      <c r="D46" s="6"/>
      <c r="E46" s="6">
        <f t="shared" si="4"/>
        <v>0</v>
      </c>
      <c r="F46" s="6" t="s">
        <v>25</v>
      </c>
      <c r="J46" s="7"/>
      <c r="K46" s="7"/>
      <c r="L46" s="7"/>
      <c r="M46" s="7"/>
      <c r="P46" s="7"/>
    </row>
    <row r="47" spans="1:19" x14ac:dyDescent="0.35">
      <c r="A47" s="14" t="s">
        <v>28</v>
      </c>
      <c r="B47" s="6"/>
      <c r="C47" s="6">
        <f>SUM(J4:J33)</f>
        <v>0.52777777777777779</v>
      </c>
      <c r="D47" s="6"/>
      <c r="E47" s="6">
        <f t="shared" si="4"/>
        <v>2.1990740740740741E-2</v>
      </c>
      <c r="F47" s="6" t="s">
        <v>25</v>
      </c>
      <c r="J47" s="7"/>
      <c r="K47" s="7"/>
      <c r="L47" s="7"/>
      <c r="M47" s="7"/>
      <c r="P47" s="7"/>
    </row>
    <row r="48" spans="1:19" x14ac:dyDescent="0.35">
      <c r="A48" s="14" t="s">
        <v>29</v>
      </c>
      <c r="B48" s="6"/>
      <c r="C48" s="6">
        <f>SUM(N4:N33)</f>
        <v>0.16666666666666666</v>
      </c>
      <c r="D48" s="6"/>
      <c r="E48" s="6">
        <f t="shared" si="4"/>
        <v>6.9444444444444441E-3</v>
      </c>
      <c r="F48" s="6" t="s">
        <v>25</v>
      </c>
      <c r="J48" s="7"/>
      <c r="K48" s="7"/>
      <c r="L48" s="7"/>
      <c r="M48" s="7"/>
      <c r="P48" s="7"/>
    </row>
    <row r="49" spans="1:16" x14ac:dyDescent="0.35">
      <c r="A49" s="125" t="s">
        <v>197</v>
      </c>
      <c r="B49" s="7"/>
      <c r="C49" s="7">
        <f>M37</f>
        <v>0.1423611111111111</v>
      </c>
      <c r="D49" s="7"/>
      <c r="E49" s="6">
        <f t="shared" si="4"/>
        <v>5.9317129629629624E-3</v>
      </c>
      <c r="F49" s="6" t="s">
        <v>25</v>
      </c>
      <c r="J49" s="7"/>
      <c r="K49" s="7"/>
      <c r="L49" s="7"/>
      <c r="M49" s="7"/>
      <c r="P49" s="7"/>
    </row>
    <row r="50" spans="1:16" x14ac:dyDescent="0.35">
      <c r="A50" s="15" t="s">
        <v>118</v>
      </c>
      <c r="C50" s="7">
        <f>K37</f>
        <v>2.5277777777777777</v>
      </c>
      <c r="E50" s="7">
        <f>C50/11</f>
        <v>0.22979797979797978</v>
      </c>
      <c r="F50" s="7" t="s">
        <v>25</v>
      </c>
    </row>
    <row r="51" spans="1:16" x14ac:dyDescent="0.35">
      <c r="A51" s="125" t="s">
        <v>122</v>
      </c>
      <c r="B51" s="7"/>
      <c r="C51" s="7">
        <f>L37</f>
        <v>0</v>
      </c>
      <c r="D51" s="7"/>
      <c r="E51" s="7">
        <f>C51/11</f>
        <v>0</v>
      </c>
      <c r="F51" s="7" t="s">
        <v>25</v>
      </c>
      <c r="J51" s="7"/>
      <c r="K51" s="7"/>
      <c r="L51" s="7"/>
      <c r="M51" s="7"/>
      <c r="P51" s="7"/>
    </row>
    <row r="52" spans="1:16" x14ac:dyDescent="0.35">
      <c r="A52" s="7"/>
      <c r="B52" s="7"/>
      <c r="C52" s="7"/>
      <c r="D52" s="7"/>
      <c r="J52" s="7"/>
      <c r="K52" s="7"/>
      <c r="L52" s="7"/>
      <c r="M52" s="7"/>
      <c r="P52" s="7"/>
    </row>
    <row r="53" spans="1:16" x14ac:dyDescent="0.35">
      <c r="A53" s="7"/>
      <c r="B53" s="7"/>
      <c r="C53" s="7"/>
      <c r="D53" s="7"/>
      <c r="J53" s="7"/>
      <c r="K53" s="7"/>
      <c r="L53" s="7"/>
      <c r="M53" s="7"/>
      <c r="P53" s="7"/>
    </row>
    <row r="54" spans="1:16" x14ac:dyDescent="0.35">
      <c r="A54" s="15" t="s">
        <v>30</v>
      </c>
      <c r="B54" s="7"/>
      <c r="C54" s="7"/>
      <c r="D54" s="7">
        <f>SUM(F4:F33)</f>
        <v>12.777083333333332</v>
      </c>
      <c r="J54" s="7"/>
      <c r="K54" s="7"/>
      <c r="L54" s="7"/>
      <c r="M54" s="7"/>
      <c r="P54" s="7"/>
    </row>
    <row r="55" spans="1:16" x14ac:dyDescent="0.35">
      <c r="A55" s="7"/>
      <c r="B55" s="7"/>
      <c r="C55" s="7"/>
      <c r="D55" s="7"/>
      <c r="J55" s="7"/>
      <c r="K55" s="7"/>
      <c r="L55" s="7"/>
      <c r="M55" s="7"/>
      <c r="P55" s="7"/>
    </row>
    <row r="56" spans="1:16" x14ac:dyDescent="0.35">
      <c r="A56" s="7"/>
      <c r="B56" s="7"/>
      <c r="C56" s="7"/>
      <c r="D56" s="7"/>
      <c r="J56" s="7"/>
      <c r="K56" s="7"/>
      <c r="L56" s="7"/>
      <c r="M56" s="7"/>
      <c r="P56" s="7"/>
    </row>
    <row r="57" spans="1:16" x14ac:dyDescent="0.35">
      <c r="A57" s="7"/>
      <c r="B57" s="7"/>
      <c r="C57" s="7"/>
      <c r="D57" s="7"/>
      <c r="J57" s="7"/>
      <c r="K57" s="7"/>
      <c r="L57" s="7"/>
      <c r="M57" s="7"/>
      <c r="P57" s="7"/>
    </row>
    <row r="58" spans="1:16" x14ac:dyDescent="0.35">
      <c r="A58" s="7"/>
      <c r="B58" s="7"/>
      <c r="C58" s="7"/>
      <c r="D58" s="7"/>
      <c r="J58" s="7"/>
      <c r="K58" s="7"/>
      <c r="L58" s="7"/>
      <c r="M58" s="7"/>
      <c r="P58" s="7"/>
    </row>
  </sheetData>
  <mergeCells count="2">
    <mergeCell ref="A1:S1"/>
    <mergeCell ref="A40:S40"/>
  </mergeCells>
  <phoneticPr fontId="12" type="noConversion"/>
  <conditionalFormatting sqref="G4:G34 G36:G38">
    <cfRule type="expression" dxfId="5" priority="1">
      <formula>G4&gt;4</formula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43A7A-3F49-4B03-81FA-A1273BF57511}">
  <dimension ref="A1:R58"/>
  <sheetViews>
    <sheetView workbookViewId="0">
      <selection activeCell="C4" sqref="C4"/>
    </sheetView>
  </sheetViews>
  <sheetFormatPr defaultRowHeight="14.5" x14ac:dyDescent="0.35"/>
  <cols>
    <col min="1" max="1" width="14" customWidth="1"/>
    <col min="2" max="2" width="29.08984375" customWidth="1"/>
    <col min="3" max="4" width="18" customWidth="1"/>
    <col min="5" max="5" width="14" style="7" customWidth="1"/>
    <col min="6" max="6" width="18" style="7" customWidth="1"/>
    <col min="7" max="7" width="16.81640625" style="7" customWidth="1"/>
    <col min="8" max="8" width="16" style="7" customWidth="1"/>
    <col min="9" max="9" width="20" style="7" customWidth="1"/>
    <col min="10" max="11" width="16" customWidth="1"/>
    <col min="12" max="12" width="17.81640625" customWidth="1"/>
    <col min="13" max="13" width="18" style="7" customWidth="1"/>
    <col min="14" max="14" width="16" style="7" customWidth="1"/>
    <col min="15" max="15" width="52.26953125" customWidth="1"/>
    <col min="16" max="16" width="18" customWidth="1"/>
    <col min="17" max="17" width="12" customWidth="1"/>
    <col min="18" max="18" width="55.453125" customWidth="1"/>
  </cols>
  <sheetData>
    <row r="1" spans="1:18" ht="21" x14ac:dyDescent="0.35">
      <c r="A1" s="195" t="s">
        <v>16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</row>
    <row r="3" spans="1:18" x14ac:dyDescent="0.35">
      <c r="A3" s="1" t="s">
        <v>0</v>
      </c>
      <c r="B3" s="1" t="s">
        <v>1</v>
      </c>
      <c r="C3" s="1" t="s">
        <v>2</v>
      </c>
      <c r="D3" s="1" t="s">
        <v>3</v>
      </c>
      <c r="E3" s="5" t="s">
        <v>4</v>
      </c>
      <c r="F3" s="5" t="s">
        <v>5</v>
      </c>
      <c r="G3" s="5" t="s">
        <v>6</v>
      </c>
      <c r="H3" s="5" t="s">
        <v>46</v>
      </c>
      <c r="I3" s="5" t="s">
        <v>218</v>
      </c>
      <c r="J3" s="1" t="s">
        <v>7</v>
      </c>
      <c r="K3" s="1" t="s">
        <v>118</v>
      </c>
      <c r="L3" s="1" t="s">
        <v>122</v>
      </c>
      <c r="M3" s="5" t="s">
        <v>8</v>
      </c>
      <c r="N3" s="5" t="s">
        <v>9</v>
      </c>
      <c r="O3" s="1" t="s">
        <v>10</v>
      </c>
      <c r="P3" s="1" t="s">
        <v>11</v>
      </c>
      <c r="Q3" s="1" t="s">
        <v>12</v>
      </c>
      <c r="R3" s="1" t="s">
        <v>14</v>
      </c>
    </row>
    <row r="4" spans="1:18" x14ac:dyDescent="0.35">
      <c r="A4" s="3">
        <v>46174</v>
      </c>
      <c r="B4" s="2" t="s">
        <v>222</v>
      </c>
      <c r="C4" s="2"/>
      <c r="D4" s="2"/>
      <c r="E4" s="6"/>
      <c r="F4" s="6"/>
      <c r="G4" s="6">
        <f t="shared" ref="G4:G33" si="0">E4-F4</f>
        <v>0</v>
      </c>
      <c r="H4" s="6"/>
      <c r="I4" s="6"/>
      <c r="J4" s="4"/>
      <c r="K4" s="4"/>
      <c r="L4" s="4"/>
      <c r="M4" s="6"/>
      <c r="N4" s="6">
        <f t="shared" ref="N4:N33" si="1">SUM(H4:M4)</f>
        <v>0</v>
      </c>
      <c r="O4" s="2"/>
      <c r="P4" s="2"/>
      <c r="Q4" s="2"/>
      <c r="R4" s="2"/>
    </row>
    <row r="5" spans="1:18" x14ac:dyDescent="0.35">
      <c r="A5" s="3">
        <v>46175</v>
      </c>
      <c r="B5" s="2"/>
      <c r="C5" s="2"/>
      <c r="D5" s="2"/>
      <c r="E5" s="6"/>
      <c r="F5" s="6"/>
      <c r="G5" s="6">
        <f t="shared" si="0"/>
        <v>0</v>
      </c>
      <c r="H5" s="6"/>
      <c r="I5" s="6"/>
      <c r="J5" s="2"/>
      <c r="K5" s="2"/>
      <c r="L5" s="2"/>
      <c r="M5" s="6"/>
      <c r="N5" s="6">
        <f t="shared" si="1"/>
        <v>0</v>
      </c>
      <c r="O5" s="2"/>
      <c r="P5" s="2"/>
      <c r="Q5" s="2"/>
      <c r="R5" s="2"/>
    </row>
    <row r="6" spans="1:18" s="24" customFormat="1" x14ac:dyDescent="0.35">
      <c r="A6" s="3">
        <v>46176</v>
      </c>
      <c r="B6" s="2"/>
      <c r="C6" s="2"/>
      <c r="D6" s="2"/>
      <c r="E6" s="6"/>
      <c r="F6" s="6"/>
      <c r="G6" s="6">
        <f t="shared" si="0"/>
        <v>0</v>
      </c>
      <c r="H6" s="6"/>
      <c r="I6" s="6"/>
      <c r="J6" s="2"/>
      <c r="K6" s="2"/>
      <c r="L6" s="2"/>
      <c r="M6" s="6"/>
      <c r="N6" s="6">
        <f t="shared" si="1"/>
        <v>0</v>
      </c>
      <c r="O6" s="2"/>
      <c r="P6" s="2"/>
      <c r="Q6" s="2"/>
      <c r="R6" s="2"/>
    </row>
    <row r="7" spans="1:18" x14ac:dyDescent="0.35">
      <c r="A7" s="3">
        <v>46177</v>
      </c>
      <c r="B7" s="2"/>
      <c r="C7" s="2"/>
      <c r="D7" s="2"/>
      <c r="E7" s="6"/>
      <c r="F7" s="6"/>
      <c r="G7" s="6">
        <f t="shared" si="0"/>
        <v>0</v>
      </c>
      <c r="H7" s="6"/>
      <c r="I7" s="6"/>
      <c r="J7" s="2"/>
      <c r="K7" s="2"/>
      <c r="L7" s="2"/>
      <c r="M7" s="6"/>
      <c r="N7" s="6">
        <f t="shared" si="1"/>
        <v>0</v>
      </c>
      <c r="O7" s="12"/>
      <c r="P7" s="2"/>
      <c r="Q7" s="2"/>
      <c r="R7" s="2"/>
    </row>
    <row r="8" spans="1:18" s="24" customFormat="1" x14ac:dyDescent="0.35">
      <c r="A8" s="3">
        <v>46178</v>
      </c>
      <c r="B8" s="2"/>
      <c r="C8" s="2"/>
      <c r="D8" s="2"/>
      <c r="E8" s="6"/>
      <c r="F8" s="6"/>
      <c r="G8" s="6">
        <f t="shared" si="0"/>
        <v>0</v>
      </c>
      <c r="H8" s="6"/>
      <c r="I8" s="6"/>
      <c r="J8" s="2"/>
      <c r="K8" s="2"/>
      <c r="L8" s="2"/>
      <c r="M8" s="6"/>
      <c r="N8" s="6">
        <f t="shared" si="1"/>
        <v>0</v>
      </c>
      <c r="O8" s="2"/>
      <c r="P8" s="2"/>
      <c r="Q8" s="2"/>
      <c r="R8" s="2"/>
    </row>
    <row r="9" spans="1:18" x14ac:dyDescent="0.35">
      <c r="A9" s="3">
        <v>46179</v>
      </c>
      <c r="B9" s="2"/>
      <c r="C9" s="2"/>
      <c r="D9" s="2"/>
      <c r="E9" s="6"/>
      <c r="F9" s="6"/>
      <c r="G9" s="6">
        <f t="shared" si="0"/>
        <v>0</v>
      </c>
      <c r="H9" s="6"/>
      <c r="I9" s="6"/>
      <c r="J9" s="2"/>
      <c r="K9" s="2"/>
      <c r="L9" s="2"/>
      <c r="M9" s="6"/>
      <c r="N9" s="6">
        <f t="shared" si="1"/>
        <v>0</v>
      </c>
      <c r="O9" s="12"/>
      <c r="P9" s="2"/>
      <c r="Q9" s="2"/>
      <c r="R9" s="2"/>
    </row>
    <row r="10" spans="1:18" x14ac:dyDescent="0.35">
      <c r="A10" s="3">
        <v>46180</v>
      </c>
      <c r="B10" s="2"/>
      <c r="C10" s="2"/>
      <c r="D10" s="2"/>
      <c r="E10" s="6"/>
      <c r="F10" s="6"/>
      <c r="G10" s="6">
        <f t="shared" si="0"/>
        <v>0</v>
      </c>
      <c r="H10" s="6"/>
      <c r="I10" s="6"/>
      <c r="J10" s="4"/>
      <c r="K10" s="4"/>
      <c r="L10" s="4"/>
      <c r="M10" s="6"/>
      <c r="N10" s="6">
        <f t="shared" si="1"/>
        <v>0</v>
      </c>
      <c r="O10" s="2"/>
      <c r="P10" s="2"/>
      <c r="Q10" s="2"/>
      <c r="R10" s="2"/>
    </row>
    <row r="11" spans="1:18" s="142" customFormat="1" x14ac:dyDescent="0.35">
      <c r="A11" s="3">
        <v>46181</v>
      </c>
      <c r="B11" s="2"/>
      <c r="C11" s="2"/>
      <c r="D11" s="2"/>
      <c r="E11" s="6"/>
      <c r="F11" s="6"/>
      <c r="G11" s="6">
        <f t="shared" si="0"/>
        <v>0</v>
      </c>
      <c r="H11" s="6"/>
      <c r="I11" s="6"/>
      <c r="J11" s="2"/>
      <c r="K11" s="2"/>
      <c r="L11" s="2"/>
      <c r="M11" s="6"/>
      <c r="N11" s="6">
        <f t="shared" si="1"/>
        <v>0</v>
      </c>
      <c r="O11" s="140"/>
      <c r="P11" s="2"/>
      <c r="Q11" s="2"/>
      <c r="R11" s="2"/>
    </row>
    <row r="12" spans="1:18" s="142" customFormat="1" x14ac:dyDescent="0.35">
      <c r="A12" s="3">
        <v>46182</v>
      </c>
      <c r="B12" s="2"/>
      <c r="C12" s="2"/>
      <c r="D12" s="2"/>
      <c r="E12" s="6"/>
      <c r="F12" s="6"/>
      <c r="G12" s="6">
        <f t="shared" si="0"/>
        <v>0</v>
      </c>
      <c r="H12" s="6"/>
      <c r="I12" s="6"/>
      <c r="J12" s="2"/>
      <c r="K12" s="2"/>
      <c r="L12" s="2"/>
      <c r="M12" s="6"/>
      <c r="N12" s="6">
        <f t="shared" si="1"/>
        <v>0</v>
      </c>
      <c r="O12" s="2"/>
      <c r="P12" s="2"/>
      <c r="Q12" s="2"/>
      <c r="R12" s="2"/>
    </row>
    <row r="13" spans="1:18" s="142" customFormat="1" x14ac:dyDescent="0.35">
      <c r="A13" s="3">
        <v>46183</v>
      </c>
      <c r="B13" s="2"/>
      <c r="C13" s="2"/>
      <c r="D13" s="2"/>
      <c r="E13" s="6"/>
      <c r="F13" s="6"/>
      <c r="G13" s="6">
        <f t="shared" si="0"/>
        <v>0</v>
      </c>
      <c r="H13" s="6"/>
      <c r="I13" s="6"/>
      <c r="J13" s="2"/>
      <c r="K13" s="2"/>
      <c r="L13" s="2"/>
      <c r="M13" s="6"/>
      <c r="N13" s="6">
        <f t="shared" si="1"/>
        <v>0</v>
      </c>
      <c r="O13" s="2"/>
      <c r="P13" s="2"/>
      <c r="Q13" s="2"/>
      <c r="R13" s="2"/>
    </row>
    <row r="14" spans="1:18" s="142" customFormat="1" x14ac:dyDescent="0.35">
      <c r="A14" s="3">
        <v>46184</v>
      </c>
      <c r="B14" s="2"/>
      <c r="C14" s="2"/>
      <c r="D14" s="2"/>
      <c r="E14" s="6"/>
      <c r="F14" s="6"/>
      <c r="G14" s="6">
        <f t="shared" si="0"/>
        <v>0</v>
      </c>
      <c r="H14" s="6"/>
      <c r="I14" s="6"/>
      <c r="J14" s="2"/>
      <c r="K14" s="2"/>
      <c r="L14" s="2"/>
      <c r="M14" s="6"/>
      <c r="N14" s="6">
        <f t="shared" si="1"/>
        <v>0</v>
      </c>
      <c r="O14" s="2"/>
      <c r="P14" s="2"/>
      <c r="Q14" s="2"/>
      <c r="R14" s="2"/>
    </row>
    <row r="15" spans="1:18" x14ac:dyDescent="0.35">
      <c r="A15" s="3">
        <v>46185</v>
      </c>
      <c r="B15" s="2"/>
      <c r="C15" s="2"/>
      <c r="D15" s="2"/>
      <c r="E15" s="6"/>
      <c r="F15" s="6"/>
      <c r="G15" s="6">
        <f t="shared" si="0"/>
        <v>0</v>
      </c>
      <c r="H15" s="6"/>
      <c r="I15" s="6"/>
      <c r="J15" s="4"/>
      <c r="K15" s="2"/>
      <c r="L15" s="2"/>
      <c r="M15" s="6"/>
      <c r="N15" s="6">
        <f t="shared" si="1"/>
        <v>0</v>
      </c>
      <c r="O15" s="2"/>
      <c r="P15" s="2"/>
      <c r="Q15" s="2"/>
      <c r="R15" s="2"/>
    </row>
    <row r="16" spans="1:18" x14ac:dyDescent="0.35">
      <c r="A16" s="3">
        <v>46186</v>
      </c>
      <c r="B16" s="2"/>
      <c r="C16" s="2"/>
      <c r="D16" s="2"/>
      <c r="E16" s="6"/>
      <c r="F16" s="6"/>
      <c r="G16" s="6">
        <f t="shared" si="0"/>
        <v>0</v>
      </c>
      <c r="H16" s="6"/>
      <c r="I16" s="6"/>
      <c r="J16" s="2"/>
      <c r="K16" s="2"/>
      <c r="L16" s="2"/>
      <c r="M16" s="6"/>
      <c r="N16" s="6">
        <f t="shared" si="1"/>
        <v>0</v>
      </c>
      <c r="O16" s="2"/>
      <c r="P16" s="2"/>
      <c r="Q16" s="2"/>
      <c r="R16" s="2"/>
    </row>
    <row r="17" spans="1:18" x14ac:dyDescent="0.35">
      <c r="A17" s="3">
        <v>46187</v>
      </c>
      <c r="B17" s="2"/>
      <c r="C17" s="2"/>
      <c r="D17" s="2"/>
      <c r="E17" s="6"/>
      <c r="F17" s="6"/>
      <c r="G17" s="6">
        <f t="shared" si="0"/>
        <v>0</v>
      </c>
      <c r="H17" s="6"/>
      <c r="I17" s="6"/>
      <c r="J17" s="2"/>
      <c r="K17" s="2"/>
      <c r="L17" s="2"/>
      <c r="M17" s="6"/>
      <c r="N17" s="6">
        <f t="shared" si="1"/>
        <v>0</v>
      </c>
      <c r="O17" s="2"/>
      <c r="P17" s="2"/>
      <c r="Q17" s="2"/>
      <c r="R17" s="2"/>
    </row>
    <row r="18" spans="1:18" x14ac:dyDescent="0.35">
      <c r="A18" s="3">
        <v>46188</v>
      </c>
      <c r="B18" s="2"/>
      <c r="C18" s="2"/>
      <c r="D18" s="2"/>
      <c r="E18" s="6"/>
      <c r="F18" s="6"/>
      <c r="G18" s="6">
        <f t="shared" si="0"/>
        <v>0</v>
      </c>
      <c r="H18" s="6"/>
      <c r="I18" s="6"/>
      <c r="J18" s="4"/>
      <c r="K18" s="4"/>
      <c r="L18" s="4"/>
      <c r="M18" s="6"/>
      <c r="N18" s="6">
        <f t="shared" si="1"/>
        <v>0</v>
      </c>
      <c r="O18" s="2"/>
      <c r="P18" s="2"/>
      <c r="Q18" s="2"/>
      <c r="R18" s="2"/>
    </row>
    <row r="19" spans="1:18" x14ac:dyDescent="0.35">
      <c r="A19" s="3">
        <v>46189</v>
      </c>
      <c r="B19" s="2"/>
      <c r="C19" s="2"/>
      <c r="D19" s="2"/>
      <c r="E19" s="6"/>
      <c r="F19" s="6"/>
      <c r="G19" s="6">
        <f t="shared" si="0"/>
        <v>0</v>
      </c>
      <c r="H19" s="6"/>
      <c r="I19" s="6"/>
      <c r="J19" s="2"/>
      <c r="K19" s="2"/>
      <c r="L19" s="2"/>
      <c r="M19" s="6"/>
      <c r="N19" s="6">
        <f t="shared" si="1"/>
        <v>0</v>
      </c>
      <c r="O19" s="2"/>
      <c r="P19" s="2"/>
      <c r="Q19" s="2"/>
      <c r="R19" s="2"/>
    </row>
    <row r="20" spans="1:18" x14ac:dyDescent="0.35">
      <c r="A20" s="3">
        <v>46190</v>
      </c>
      <c r="B20" s="2"/>
      <c r="C20" s="2"/>
      <c r="D20" s="2"/>
      <c r="E20" s="6"/>
      <c r="F20" s="6"/>
      <c r="G20" s="6">
        <f t="shared" si="0"/>
        <v>0</v>
      </c>
      <c r="H20" s="6"/>
      <c r="I20" s="6"/>
      <c r="J20" s="2"/>
      <c r="K20" s="2"/>
      <c r="L20" s="2"/>
      <c r="M20" s="6"/>
      <c r="N20" s="6">
        <f t="shared" si="1"/>
        <v>0</v>
      </c>
      <c r="O20" s="2"/>
      <c r="P20" s="2"/>
      <c r="Q20" s="2"/>
      <c r="R20" s="2"/>
    </row>
    <row r="21" spans="1:18" x14ac:dyDescent="0.35">
      <c r="A21" s="3">
        <v>46191</v>
      </c>
      <c r="B21" s="2"/>
      <c r="C21" s="2"/>
      <c r="D21" s="2"/>
      <c r="E21" s="6"/>
      <c r="F21" s="6"/>
      <c r="G21" s="6">
        <f t="shared" si="0"/>
        <v>0</v>
      </c>
      <c r="H21" s="6"/>
      <c r="I21" s="6"/>
      <c r="J21" s="2"/>
      <c r="K21" s="2"/>
      <c r="L21" s="2"/>
      <c r="M21" s="6"/>
      <c r="N21" s="6">
        <f t="shared" si="1"/>
        <v>0</v>
      </c>
      <c r="O21" s="2"/>
      <c r="P21" s="2"/>
      <c r="Q21" s="2"/>
      <c r="R21" s="2"/>
    </row>
    <row r="22" spans="1:18" x14ac:dyDescent="0.35">
      <c r="A22" s="3">
        <v>46192</v>
      </c>
      <c r="B22" s="2"/>
      <c r="C22" s="2"/>
      <c r="D22" s="2"/>
      <c r="E22" s="6"/>
      <c r="F22" s="6"/>
      <c r="G22" s="6">
        <f t="shared" si="0"/>
        <v>0</v>
      </c>
      <c r="H22" s="6"/>
      <c r="I22" s="6"/>
      <c r="J22" s="2"/>
      <c r="K22" s="2"/>
      <c r="L22" s="2"/>
      <c r="M22" s="6"/>
      <c r="N22" s="6">
        <f t="shared" si="1"/>
        <v>0</v>
      </c>
      <c r="O22" s="2"/>
      <c r="P22" s="2"/>
      <c r="Q22" s="2"/>
      <c r="R22" s="2"/>
    </row>
    <row r="23" spans="1:18" x14ac:dyDescent="0.35">
      <c r="A23" s="3">
        <v>46193</v>
      </c>
      <c r="B23" s="2"/>
      <c r="C23" s="2"/>
      <c r="D23" s="2"/>
      <c r="E23" s="6"/>
      <c r="F23" s="6"/>
      <c r="G23" s="6">
        <f t="shared" si="0"/>
        <v>0</v>
      </c>
      <c r="H23" s="6"/>
      <c r="I23" s="6"/>
      <c r="J23" s="2"/>
      <c r="K23" s="2"/>
      <c r="L23" s="2"/>
      <c r="M23" s="6"/>
      <c r="N23" s="6">
        <f t="shared" si="1"/>
        <v>0</v>
      </c>
      <c r="O23" s="2"/>
      <c r="P23" s="2"/>
      <c r="Q23" s="2"/>
      <c r="R23" s="2"/>
    </row>
    <row r="24" spans="1:18" x14ac:dyDescent="0.35">
      <c r="A24" s="3">
        <v>46194</v>
      </c>
      <c r="B24" s="2"/>
      <c r="C24" s="2"/>
      <c r="D24" s="2"/>
      <c r="E24" s="6"/>
      <c r="F24" s="6"/>
      <c r="G24" s="6">
        <f t="shared" si="0"/>
        <v>0</v>
      </c>
      <c r="H24" s="6"/>
      <c r="I24" s="6"/>
      <c r="J24" s="2"/>
      <c r="K24" s="2"/>
      <c r="L24" s="2"/>
      <c r="M24" s="6"/>
      <c r="N24" s="6">
        <f t="shared" si="1"/>
        <v>0</v>
      </c>
      <c r="O24" s="2"/>
      <c r="P24" s="2"/>
      <c r="Q24" s="2"/>
      <c r="R24" s="2"/>
    </row>
    <row r="25" spans="1:18" x14ac:dyDescent="0.35">
      <c r="A25" s="3">
        <v>46195</v>
      </c>
      <c r="B25" s="2"/>
      <c r="C25" s="2"/>
      <c r="D25" s="2"/>
      <c r="E25" s="6"/>
      <c r="F25" s="6"/>
      <c r="G25" s="6">
        <f t="shared" si="0"/>
        <v>0</v>
      </c>
      <c r="H25" s="6"/>
      <c r="I25" s="6"/>
      <c r="J25" s="2"/>
      <c r="K25" s="2"/>
      <c r="L25" s="2"/>
      <c r="M25" s="6"/>
      <c r="N25" s="6">
        <f t="shared" si="1"/>
        <v>0</v>
      </c>
      <c r="O25" s="2"/>
      <c r="P25" s="2"/>
      <c r="Q25" s="2"/>
    </row>
    <row r="26" spans="1:18" x14ac:dyDescent="0.35">
      <c r="A26" s="3">
        <v>46196</v>
      </c>
      <c r="B26" s="2"/>
      <c r="C26" s="2"/>
      <c r="D26" s="2"/>
      <c r="E26" s="6"/>
      <c r="F26" s="6"/>
      <c r="G26" s="6">
        <f t="shared" si="0"/>
        <v>0</v>
      </c>
      <c r="H26" s="6"/>
      <c r="I26" s="6"/>
      <c r="J26" s="2"/>
      <c r="K26" s="2"/>
      <c r="L26" s="2"/>
      <c r="M26" s="6"/>
      <c r="N26" s="6">
        <f t="shared" si="1"/>
        <v>0</v>
      </c>
      <c r="O26" s="2"/>
      <c r="P26" s="2"/>
      <c r="Q26" s="2"/>
      <c r="R26" s="2"/>
    </row>
    <row r="27" spans="1:18" x14ac:dyDescent="0.35">
      <c r="A27" s="3">
        <v>46197</v>
      </c>
      <c r="B27" s="2"/>
      <c r="C27" s="2"/>
      <c r="D27" s="2"/>
      <c r="E27" s="6"/>
      <c r="F27" s="6"/>
      <c r="G27" s="6">
        <f t="shared" si="0"/>
        <v>0</v>
      </c>
      <c r="H27" s="6"/>
      <c r="I27" s="6"/>
      <c r="J27" s="2"/>
      <c r="K27" s="2"/>
      <c r="L27" s="2"/>
      <c r="M27" s="6"/>
      <c r="N27" s="6">
        <f t="shared" si="1"/>
        <v>0</v>
      </c>
      <c r="O27" s="2"/>
      <c r="P27" s="2"/>
      <c r="Q27" s="2"/>
      <c r="R27" s="2"/>
    </row>
    <row r="28" spans="1:18" x14ac:dyDescent="0.35">
      <c r="A28" s="3">
        <v>46198</v>
      </c>
      <c r="B28" s="2"/>
      <c r="C28" s="2"/>
      <c r="D28" s="2"/>
      <c r="E28" s="6"/>
      <c r="F28" s="6"/>
      <c r="G28" s="6">
        <f t="shared" si="0"/>
        <v>0</v>
      </c>
      <c r="H28" s="6"/>
      <c r="I28" s="6"/>
      <c r="J28" s="2"/>
      <c r="K28" s="2"/>
      <c r="L28" s="2"/>
      <c r="M28" s="6"/>
      <c r="N28" s="6">
        <f t="shared" si="1"/>
        <v>0</v>
      </c>
      <c r="O28" s="2"/>
      <c r="P28" s="2"/>
      <c r="Q28" s="2"/>
      <c r="R28" s="2"/>
    </row>
    <row r="29" spans="1:18" x14ac:dyDescent="0.35">
      <c r="A29" s="3">
        <v>46199</v>
      </c>
      <c r="B29" s="2"/>
      <c r="C29" s="2"/>
      <c r="D29" s="2"/>
      <c r="E29" s="6"/>
      <c r="F29" s="6"/>
      <c r="G29" s="6">
        <f t="shared" si="0"/>
        <v>0</v>
      </c>
      <c r="H29" s="6"/>
      <c r="I29" s="6"/>
      <c r="J29" s="2"/>
      <c r="K29" s="2"/>
      <c r="L29" s="2"/>
      <c r="M29" s="6"/>
      <c r="N29" s="6">
        <f t="shared" si="1"/>
        <v>0</v>
      </c>
      <c r="O29" s="2"/>
      <c r="P29" s="2"/>
      <c r="Q29" s="2"/>
      <c r="R29" s="2"/>
    </row>
    <row r="30" spans="1:18" x14ac:dyDescent="0.35">
      <c r="A30" s="3">
        <v>46200</v>
      </c>
      <c r="B30" s="2"/>
      <c r="C30" s="2"/>
      <c r="D30" s="2"/>
      <c r="E30" s="6"/>
      <c r="F30" s="6"/>
      <c r="G30" s="6">
        <f>E30-F30</f>
        <v>0</v>
      </c>
      <c r="H30" s="6"/>
      <c r="I30" s="6"/>
      <c r="J30" s="2"/>
      <c r="K30" s="2"/>
      <c r="L30" s="2"/>
      <c r="M30" s="6"/>
      <c r="N30" s="6">
        <f t="shared" si="1"/>
        <v>0</v>
      </c>
      <c r="P30" s="2"/>
      <c r="Q30" s="2"/>
    </row>
    <row r="31" spans="1:18" x14ac:dyDescent="0.35">
      <c r="A31" s="3">
        <v>46201</v>
      </c>
      <c r="B31" s="2"/>
      <c r="C31" s="2"/>
      <c r="D31" s="2"/>
      <c r="E31" s="6"/>
      <c r="F31" s="6"/>
      <c r="G31" s="6">
        <f>E31-F31</f>
        <v>0</v>
      </c>
      <c r="H31" s="6"/>
      <c r="I31" s="6"/>
      <c r="J31" s="2"/>
      <c r="K31" s="2"/>
      <c r="L31" s="2"/>
      <c r="M31" s="6"/>
      <c r="N31" s="6">
        <f>SUM(H31:M31)</f>
        <v>0</v>
      </c>
      <c r="O31" s="2"/>
      <c r="P31" s="2"/>
      <c r="Q31" s="2"/>
      <c r="R31" s="2"/>
    </row>
    <row r="32" spans="1:18" x14ac:dyDescent="0.35">
      <c r="A32" s="3">
        <v>46202</v>
      </c>
      <c r="B32" s="2"/>
      <c r="C32" s="2"/>
      <c r="D32" s="2"/>
      <c r="E32" s="6"/>
      <c r="F32" s="6"/>
      <c r="G32" s="6">
        <f t="shared" si="0"/>
        <v>0</v>
      </c>
      <c r="H32" s="6"/>
      <c r="I32" s="6"/>
      <c r="J32" s="2"/>
      <c r="K32" s="2"/>
      <c r="L32" s="2"/>
      <c r="M32" s="6"/>
      <c r="N32" s="6">
        <f t="shared" si="1"/>
        <v>0</v>
      </c>
      <c r="O32" s="2"/>
      <c r="P32" s="2"/>
      <c r="Q32" s="2"/>
      <c r="R32" s="2"/>
    </row>
    <row r="33" spans="1:18" x14ac:dyDescent="0.35">
      <c r="A33" s="3">
        <v>46203</v>
      </c>
      <c r="B33" s="2"/>
      <c r="C33" s="2"/>
      <c r="D33" s="2"/>
      <c r="E33" s="6"/>
      <c r="F33" s="6"/>
      <c r="G33" s="6">
        <f t="shared" si="0"/>
        <v>0</v>
      </c>
      <c r="H33" s="6"/>
      <c r="I33" s="6"/>
      <c r="J33" s="2"/>
      <c r="K33" s="2"/>
      <c r="L33" s="2"/>
      <c r="M33" s="6"/>
      <c r="N33" s="6">
        <f t="shared" si="1"/>
        <v>0</v>
      </c>
      <c r="O33" s="2"/>
      <c r="P33" s="2"/>
      <c r="Q33" s="2"/>
      <c r="R33" s="2"/>
    </row>
    <row r="34" spans="1:18" x14ac:dyDescent="0.35">
      <c r="A34" s="3"/>
      <c r="B34" s="2"/>
      <c r="C34" s="2"/>
      <c r="D34" s="2"/>
      <c r="G34" s="6"/>
      <c r="N34" s="6"/>
      <c r="O34" s="2"/>
      <c r="P34" s="2"/>
      <c r="Q34" s="2"/>
      <c r="R34" s="2"/>
    </row>
    <row r="35" spans="1:18" x14ac:dyDescent="0.35">
      <c r="A35" s="3"/>
      <c r="B35" s="2"/>
      <c r="C35" s="2"/>
      <c r="D35" s="2"/>
      <c r="N35" s="6"/>
      <c r="O35" s="2"/>
      <c r="P35" s="2"/>
      <c r="Q35" s="2"/>
      <c r="R35" s="2"/>
    </row>
    <row r="36" spans="1:18" x14ac:dyDescent="0.35">
      <c r="A36" s="3"/>
      <c r="B36" s="2"/>
      <c r="C36" s="2"/>
      <c r="D36" s="2"/>
      <c r="E36" s="10" t="s">
        <v>22</v>
      </c>
      <c r="F36" s="10" t="s">
        <v>22</v>
      </c>
      <c r="G36" s="10" t="s">
        <v>22</v>
      </c>
      <c r="H36" s="10" t="s">
        <v>22</v>
      </c>
      <c r="I36" s="10" t="s">
        <v>22</v>
      </c>
      <c r="J36" s="9" t="s">
        <v>22</v>
      </c>
      <c r="K36" s="9"/>
      <c r="L36" s="9"/>
      <c r="M36" s="10" t="s">
        <v>22</v>
      </c>
      <c r="N36" s="6"/>
      <c r="O36" s="2"/>
      <c r="P36" s="2"/>
      <c r="Q36" s="2"/>
      <c r="R36" s="2"/>
    </row>
    <row r="37" spans="1:18" x14ac:dyDescent="0.35">
      <c r="A37" s="2"/>
      <c r="B37" s="2"/>
      <c r="C37" s="2"/>
      <c r="D37" s="2"/>
      <c r="E37" s="10">
        <f t="shared" ref="E37:M37" si="2">SUM(E4:E33)</f>
        <v>0</v>
      </c>
      <c r="F37" s="10">
        <f t="shared" si="2"/>
        <v>0</v>
      </c>
      <c r="G37" s="11">
        <f t="shared" si="2"/>
        <v>0</v>
      </c>
      <c r="H37" s="10">
        <f t="shared" si="2"/>
        <v>0</v>
      </c>
      <c r="I37" s="10">
        <f t="shared" si="2"/>
        <v>0</v>
      </c>
      <c r="J37" s="13">
        <f t="shared" si="2"/>
        <v>0</v>
      </c>
      <c r="K37" s="13">
        <f t="shared" si="2"/>
        <v>0</v>
      </c>
      <c r="L37" s="13">
        <f t="shared" si="2"/>
        <v>0</v>
      </c>
      <c r="M37" s="10">
        <f t="shared" si="2"/>
        <v>0</v>
      </c>
      <c r="N37" s="6"/>
      <c r="O37" s="2"/>
      <c r="P37" s="2"/>
      <c r="Q37" s="2"/>
      <c r="R37" s="2"/>
    </row>
    <row r="38" spans="1:18" x14ac:dyDescent="0.35">
      <c r="G38" s="16"/>
      <c r="J38" s="17"/>
      <c r="K38" s="17"/>
      <c r="L38" s="17"/>
    </row>
    <row r="39" spans="1:18" ht="20" customHeight="1" x14ac:dyDescent="0.35"/>
    <row r="40" spans="1:18" ht="18.5" x14ac:dyDescent="0.45">
      <c r="A40" s="197" t="s">
        <v>23</v>
      </c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</row>
    <row r="41" spans="1:18" x14ac:dyDescent="0.35">
      <c r="A41" s="7"/>
      <c r="B41" s="7"/>
      <c r="C41" s="7"/>
      <c r="D41" s="7"/>
      <c r="J41" s="7"/>
      <c r="K41" s="7"/>
      <c r="L41" s="7"/>
      <c r="O41" s="7"/>
    </row>
    <row r="42" spans="1:18" x14ac:dyDescent="0.35">
      <c r="A42" s="14" t="s">
        <v>24</v>
      </c>
      <c r="B42" s="6"/>
      <c r="C42" s="6"/>
      <c r="D42" s="6">
        <f>SUM(E4:E33)</f>
        <v>0</v>
      </c>
      <c r="E42" s="6"/>
      <c r="F42" s="6">
        <f t="shared" ref="F42:F50" si="3">D42/11</f>
        <v>0</v>
      </c>
      <c r="G42" s="6" t="s">
        <v>25</v>
      </c>
      <c r="J42" s="7"/>
      <c r="K42" s="7"/>
      <c r="L42" s="7"/>
      <c r="O42" s="7"/>
    </row>
    <row r="43" spans="1:18" x14ac:dyDescent="0.35">
      <c r="A43" s="14" t="s">
        <v>26</v>
      </c>
      <c r="B43" s="6"/>
      <c r="C43" s="6"/>
      <c r="D43" s="6">
        <f>SUM(F4:F33)</f>
        <v>0</v>
      </c>
      <c r="E43" s="6"/>
      <c r="F43" s="6">
        <f t="shared" si="3"/>
        <v>0</v>
      </c>
      <c r="G43" s="6" t="s">
        <v>25</v>
      </c>
      <c r="J43" s="7"/>
      <c r="K43" s="7"/>
      <c r="L43" s="7"/>
      <c r="O43" s="7"/>
    </row>
    <row r="44" spans="1:18" x14ac:dyDescent="0.35">
      <c r="A44" s="14" t="s">
        <v>27</v>
      </c>
      <c r="B44" s="6"/>
      <c r="C44" s="6"/>
      <c r="D44" s="6">
        <f>SUM(G4:G33)</f>
        <v>0</v>
      </c>
      <c r="E44" s="6"/>
      <c r="F44" s="6">
        <f t="shared" si="3"/>
        <v>0</v>
      </c>
      <c r="G44" s="6" t="s">
        <v>25</v>
      </c>
      <c r="J44" s="7"/>
      <c r="K44" s="7"/>
      <c r="L44" s="7"/>
      <c r="O44" s="7"/>
    </row>
    <row r="45" spans="1:18" x14ac:dyDescent="0.35">
      <c r="A45" s="14" t="s">
        <v>50</v>
      </c>
      <c r="B45" s="6"/>
      <c r="C45" s="6"/>
      <c r="D45" s="6">
        <f>SUM(H4:H33)</f>
        <v>0</v>
      </c>
      <c r="E45" s="6"/>
      <c r="F45" s="6">
        <f t="shared" si="3"/>
        <v>0</v>
      </c>
      <c r="G45" s="6" t="s">
        <v>25</v>
      </c>
      <c r="J45" s="7"/>
      <c r="K45" s="7"/>
      <c r="L45" s="7"/>
      <c r="O45" s="7"/>
    </row>
    <row r="46" spans="1:18" x14ac:dyDescent="0.35">
      <c r="A46" s="14" t="s">
        <v>135</v>
      </c>
      <c r="B46" s="6"/>
      <c r="C46" s="6"/>
      <c r="D46" s="6">
        <f>SUM(I4:I33)</f>
        <v>0</v>
      </c>
      <c r="E46" s="6"/>
      <c r="F46" s="6">
        <f t="shared" si="3"/>
        <v>0</v>
      </c>
      <c r="G46" s="6" t="s">
        <v>25</v>
      </c>
      <c r="J46" s="7"/>
      <c r="K46" s="7"/>
      <c r="L46" s="7"/>
      <c r="O46" s="7"/>
    </row>
    <row r="47" spans="1:18" x14ac:dyDescent="0.35">
      <c r="A47" s="14" t="s">
        <v>28</v>
      </c>
      <c r="B47" s="6"/>
      <c r="C47" s="6"/>
      <c r="D47" s="6">
        <f>SUM(J4:J33)</f>
        <v>0</v>
      </c>
      <c r="E47" s="6"/>
      <c r="F47" s="6">
        <f t="shared" si="3"/>
        <v>0</v>
      </c>
      <c r="G47" s="6" t="s">
        <v>25</v>
      </c>
      <c r="J47" s="7"/>
      <c r="K47" s="7"/>
      <c r="L47" s="7"/>
      <c r="O47" s="7"/>
    </row>
    <row r="48" spans="1:18" x14ac:dyDescent="0.35">
      <c r="A48" s="14" t="s">
        <v>29</v>
      </c>
      <c r="B48" s="6"/>
      <c r="C48" s="6"/>
      <c r="D48" s="6">
        <f>SUM(M4:M33)</f>
        <v>0</v>
      </c>
      <c r="E48" s="6"/>
      <c r="F48" s="6">
        <f t="shared" si="3"/>
        <v>0</v>
      </c>
      <c r="G48" s="6" t="s">
        <v>25</v>
      </c>
      <c r="J48" s="7"/>
      <c r="K48" s="7"/>
      <c r="L48" s="7"/>
      <c r="O48" s="7"/>
    </row>
    <row r="49" spans="1:15" x14ac:dyDescent="0.35">
      <c r="A49" s="125" t="s">
        <v>119</v>
      </c>
      <c r="B49" s="7"/>
      <c r="C49" s="7"/>
      <c r="D49" s="6">
        <f t="shared" ref="D49:D50" si="4">SUM(M5:M34)</f>
        <v>0</v>
      </c>
      <c r="F49" s="6">
        <f t="shared" si="3"/>
        <v>0</v>
      </c>
      <c r="G49" s="6" t="s">
        <v>25</v>
      </c>
      <c r="J49" s="7"/>
      <c r="K49" s="7"/>
      <c r="L49" s="7"/>
      <c r="O49" s="7"/>
    </row>
    <row r="50" spans="1:15" x14ac:dyDescent="0.35">
      <c r="A50" s="125" t="s">
        <v>120</v>
      </c>
      <c r="D50" s="6">
        <f t="shared" si="4"/>
        <v>0</v>
      </c>
      <c r="F50" s="6">
        <f t="shared" si="3"/>
        <v>0</v>
      </c>
      <c r="G50" s="6" t="s">
        <v>25</v>
      </c>
    </row>
    <row r="51" spans="1:15" x14ac:dyDescent="0.35">
      <c r="A51" s="7"/>
      <c r="B51" s="7"/>
      <c r="C51" s="7"/>
      <c r="D51" s="7"/>
      <c r="J51" s="7"/>
      <c r="K51" s="7"/>
      <c r="L51" s="7"/>
      <c r="O51" s="7"/>
    </row>
    <row r="52" spans="1:15" x14ac:dyDescent="0.35">
      <c r="A52" s="7"/>
      <c r="B52" s="7"/>
      <c r="C52" s="7"/>
      <c r="D52" s="7"/>
      <c r="J52" s="7"/>
      <c r="K52" s="7"/>
      <c r="L52" s="7"/>
      <c r="O52" s="7"/>
    </row>
    <row r="53" spans="1:15" x14ac:dyDescent="0.35">
      <c r="A53" s="15" t="s">
        <v>30</v>
      </c>
      <c r="B53" s="7"/>
      <c r="C53" s="7"/>
      <c r="D53" s="7">
        <f>SUM(F4:F33)</f>
        <v>0</v>
      </c>
      <c r="J53" s="7"/>
      <c r="K53" s="7"/>
      <c r="L53" s="7"/>
      <c r="O53" s="7"/>
    </row>
    <row r="54" spans="1:15" x14ac:dyDescent="0.35">
      <c r="A54" s="7"/>
      <c r="B54" s="7"/>
      <c r="C54" s="7"/>
      <c r="D54" s="7"/>
      <c r="J54" s="7"/>
      <c r="K54" s="7"/>
      <c r="L54" s="7"/>
      <c r="O54" s="7"/>
    </row>
    <row r="55" spans="1:15" x14ac:dyDescent="0.35">
      <c r="A55" s="7"/>
      <c r="B55" s="7"/>
      <c r="C55" s="7"/>
      <c r="D55" s="7"/>
      <c r="J55" s="7"/>
      <c r="K55" s="7"/>
      <c r="L55" s="7"/>
      <c r="O55" s="7"/>
    </row>
    <row r="56" spans="1:15" x14ac:dyDescent="0.35">
      <c r="A56" s="7"/>
      <c r="B56" s="7"/>
      <c r="C56" s="7"/>
      <c r="D56" s="7"/>
      <c r="J56" s="7"/>
      <c r="K56" s="7"/>
      <c r="L56" s="7"/>
      <c r="O56" s="7"/>
    </row>
    <row r="57" spans="1:15" x14ac:dyDescent="0.35">
      <c r="A57" s="7"/>
      <c r="B57" s="7"/>
      <c r="C57" s="7"/>
      <c r="D57" s="7"/>
      <c r="J57" s="7"/>
      <c r="K57" s="7"/>
      <c r="L57" s="7"/>
      <c r="O57" s="7"/>
    </row>
    <row r="58" spans="1:15" x14ac:dyDescent="0.35">
      <c r="A58" s="7"/>
      <c r="B58" s="7"/>
      <c r="C58" s="7"/>
      <c r="D58" s="7"/>
      <c r="J58" s="7"/>
      <c r="K58" s="7"/>
      <c r="L58" s="7"/>
      <c r="O58" s="7"/>
    </row>
  </sheetData>
  <mergeCells count="2">
    <mergeCell ref="A1:R1"/>
    <mergeCell ref="A40:R40"/>
  </mergeCells>
  <conditionalFormatting sqref="G4:G34 G36:G38">
    <cfRule type="expression" dxfId="4" priority="1">
      <formula>G4&gt;4</formula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0FBB8-CD28-48ED-B538-ECDE1F04B1A3}">
  <dimension ref="A1:Q58"/>
  <sheetViews>
    <sheetView topLeftCell="A24" workbookViewId="0">
      <selection activeCell="A42" sqref="A42"/>
    </sheetView>
  </sheetViews>
  <sheetFormatPr defaultRowHeight="14.5" x14ac:dyDescent="0.35"/>
  <cols>
    <col min="1" max="1" width="14" customWidth="1"/>
    <col min="2" max="2" width="29.08984375" customWidth="1"/>
    <col min="3" max="4" width="18" customWidth="1"/>
    <col min="5" max="5" width="14" style="7" customWidth="1"/>
    <col min="6" max="6" width="18" style="7" customWidth="1"/>
    <col min="7" max="7" width="16.81640625" style="7" customWidth="1"/>
    <col min="8" max="8" width="18.08984375" style="7" customWidth="1"/>
    <col min="9" max="9" width="20" style="7" customWidth="1"/>
    <col min="10" max="10" width="16" customWidth="1"/>
    <col min="11" max="11" width="18" style="7" customWidth="1"/>
    <col min="12" max="12" width="16" style="7" customWidth="1"/>
    <col min="13" max="13" width="52.26953125" customWidth="1"/>
    <col min="14" max="14" width="18" customWidth="1"/>
    <col min="15" max="15" width="12" customWidth="1"/>
    <col min="16" max="16" width="18" customWidth="1"/>
    <col min="17" max="17" width="55.453125" customWidth="1"/>
  </cols>
  <sheetData>
    <row r="1" spans="1:17" ht="21" x14ac:dyDescent="0.35">
      <c r="A1" s="195" t="s">
        <v>16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</row>
    <row r="3" spans="1:17" x14ac:dyDescent="0.35">
      <c r="A3" s="1" t="s">
        <v>0</v>
      </c>
      <c r="B3" s="1" t="s">
        <v>1</v>
      </c>
      <c r="C3" s="1" t="s">
        <v>2</v>
      </c>
      <c r="D3" s="1" t="s">
        <v>3</v>
      </c>
      <c r="E3" s="5" t="s">
        <v>4</v>
      </c>
      <c r="F3" s="5" t="s">
        <v>5</v>
      </c>
      <c r="G3" s="5" t="s">
        <v>6</v>
      </c>
      <c r="H3" s="5" t="s">
        <v>46</v>
      </c>
      <c r="I3" s="5" t="s">
        <v>218</v>
      </c>
      <c r="J3" s="1" t="s">
        <v>7</v>
      </c>
      <c r="K3" s="5" t="s">
        <v>8</v>
      </c>
      <c r="L3" s="5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</row>
    <row r="4" spans="1:17" x14ac:dyDescent="0.35">
      <c r="A4" s="3"/>
      <c r="B4" s="2"/>
      <c r="C4" s="2"/>
      <c r="D4" s="2"/>
      <c r="E4" s="6"/>
      <c r="F4" s="6"/>
      <c r="G4" s="6">
        <f t="shared" ref="G4:G34" si="0">E4-F4</f>
        <v>0</v>
      </c>
      <c r="H4" s="6"/>
      <c r="I4" s="6"/>
      <c r="J4" s="4"/>
      <c r="K4" s="6"/>
      <c r="L4" s="6">
        <f t="shared" ref="L4:L33" si="1">SUM(H4:K4)</f>
        <v>0</v>
      </c>
      <c r="M4" s="2"/>
      <c r="N4" s="2"/>
      <c r="O4" s="2"/>
      <c r="P4" s="2"/>
      <c r="Q4" s="2"/>
    </row>
    <row r="5" spans="1:17" x14ac:dyDescent="0.35">
      <c r="A5" s="3"/>
      <c r="B5" s="2"/>
      <c r="C5" s="2"/>
      <c r="D5" s="2"/>
      <c r="E5" s="6"/>
      <c r="F5" s="6"/>
      <c r="G5" s="6">
        <f t="shared" si="0"/>
        <v>0</v>
      </c>
      <c r="H5" s="6"/>
      <c r="I5" s="6"/>
      <c r="J5" s="2"/>
      <c r="K5" s="6"/>
      <c r="L5" s="6">
        <f t="shared" si="1"/>
        <v>0</v>
      </c>
      <c r="M5" s="2"/>
      <c r="N5" s="2"/>
      <c r="O5" s="2"/>
      <c r="P5" s="2"/>
      <c r="Q5" s="2"/>
    </row>
    <row r="6" spans="1:17" s="24" customFormat="1" x14ac:dyDescent="0.35">
      <c r="A6" s="21"/>
      <c r="B6" s="22"/>
      <c r="C6" s="22"/>
      <c r="D6" s="22"/>
      <c r="E6" s="23"/>
      <c r="F6" s="23"/>
      <c r="G6" s="23">
        <f t="shared" si="0"/>
        <v>0</v>
      </c>
      <c r="H6" s="23"/>
      <c r="I6" s="23"/>
      <c r="J6" s="22"/>
      <c r="K6" s="23"/>
      <c r="L6" s="23">
        <f t="shared" si="1"/>
        <v>0</v>
      </c>
      <c r="M6" s="22"/>
      <c r="N6" s="22"/>
      <c r="O6" s="22"/>
      <c r="P6" s="22"/>
      <c r="Q6" s="22"/>
    </row>
    <row r="7" spans="1:17" x14ac:dyDescent="0.35">
      <c r="A7" s="18"/>
      <c r="B7" s="19"/>
      <c r="C7" s="19"/>
      <c r="D7" s="19"/>
      <c r="E7" s="20"/>
      <c r="F7" s="20"/>
      <c r="G7" s="20">
        <f t="shared" si="0"/>
        <v>0</v>
      </c>
      <c r="H7" s="20"/>
      <c r="I7" s="20"/>
      <c r="J7" s="19"/>
      <c r="K7" s="20"/>
      <c r="L7" s="20">
        <f t="shared" si="1"/>
        <v>0</v>
      </c>
      <c r="M7" s="12"/>
      <c r="N7" s="19"/>
      <c r="O7" s="19"/>
      <c r="P7" s="19"/>
      <c r="Q7" s="19"/>
    </row>
    <row r="8" spans="1:17" s="24" customFormat="1" x14ac:dyDescent="0.35">
      <c r="A8" s="21"/>
      <c r="B8" s="22"/>
      <c r="C8" s="22"/>
      <c r="D8" s="22"/>
      <c r="E8" s="23"/>
      <c r="F8" s="23"/>
      <c r="G8" s="23">
        <f t="shared" si="0"/>
        <v>0</v>
      </c>
      <c r="H8" s="23"/>
      <c r="I8" s="23"/>
      <c r="J8" s="22"/>
      <c r="K8" s="23"/>
      <c r="L8" s="23">
        <f t="shared" si="1"/>
        <v>0</v>
      </c>
      <c r="M8" s="22"/>
      <c r="N8" s="22"/>
      <c r="O8" s="22"/>
      <c r="P8" s="22"/>
      <c r="Q8" s="22"/>
    </row>
    <row r="9" spans="1:17" x14ac:dyDescent="0.35">
      <c r="A9" s="3"/>
      <c r="B9" s="2"/>
      <c r="C9" s="2"/>
      <c r="D9" s="2"/>
      <c r="E9" s="6"/>
      <c r="F9" s="6"/>
      <c r="G9" s="6">
        <f t="shared" si="0"/>
        <v>0</v>
      </c>
      <c r="H9" s="6"/>
      <c r="I9" s="6"/>
      <c r="J9" s="2"/>
      <c r="K9" s="6"/>
      <c r="L9" s="6">
        <f t="shared" si="1"/>
        <v>0</v>
      </c>
      <c r="M9" s="12"/>
      <c r="N9" s="2"/>
      <c r="O9" s="2"/>
      <c r="P9" s="2"/>
      <c r="Q9" s="2"/>
    </row>
    <row r="10" spans="1:17" x14ac:dyDescent="0.35">
      <c r="A10" s="3"/>
      <c r="B10" s="2"/>
      <c r="C10" s="2"/>
      <c r="D10" s="2"/>
      <c r="E10" s="6"/>
      <c r="F10" s="6"/>
      <c r="G10" s="6">
        <f t="shared" si="0"/>
        <v>0</v>
      </c>
      <c r="H10" s="6"/>
      <c r="I10" s="6"/>
      <c r="J10" s="4"/>
      <c r="K10" s="6"/>
      <c r="L10" s="6">
        <f t="shared" si="1"/>
        <v>0</v>
      </c>
      <c r="M10" s="2"/>
      <c r="N10" s="2"/>
      <c r="O10" s="2"/>
      <c r="P10" s="2"/>
      <c r="Q10" s="2"/>
    </row>
    <row r="11" spans="1:17" x14ac:dyDescent="0.35">
      <c r="A11" s="3"/>
      <c r="B11" s="2"/>
      <c r="C11" s="2"/>
      <c r="D11" s="2"/>
      <c r="E11" s="6"/>
      <c r="F11" s="6"/>
      <c r="G11" s="6">
        <f t="shared" si="0"/>
        <v>0</v>
      </c>
      <c r="H11" s="6"/>
      <c r="I11" s="6"/>
      <c r="J11" s="2"/>
      <c r="K11" s="6"/>
      <c r="L11" s="6">
        <f t="shared" si="1"/>
        <v>0</v>
      </c>
      <c r="M11" s="2"/>
      <c r="N11" s="2"/>
      <c r="O11" s="2"/>
      <c r="P11" s="2"/>
      <c r="Q11" s="2"/>
    </row>
    <row r="12" spans="1:17" x14ac:dyDescent="0.35">
      <c r="A12" s="3"/>
      <c r="B12" s="2"/>
      <c r="C12" s="2"/>
      <c r="D12" s="2"/>
      <c r="E12" s="6"/>
      <c r="F12" s="6"/>
      <c r="G12" s="6">
        <f t="shared" si="0"/>
        <v>0</v>
      </c>
      <c r="H12" s="6"/>
      <c r="I12" s="6"/>
      <c r="J12" s="2"/>
      <c r="K12" s="6"/>
      <c r="L12" s="6">
        <f t="shared" si="1"/>
        <v>0</v>
      </c>
      <c r="M12" s="2"/>
      <c r="N12" s="2"/>
      <c r="O12" s="2"/>
      <c r="P12" s="2"/>
      <c r="Q12" s="2"/>
    </row>
    <row r="13" spans="1:17" x14ac:dyDescent="0.35">
      <c r="A13" s="3"/>
      <c r="B13" s="2"/>
      <c r="C13" s="2"/>
      <c r="D13" s="2"/>
      <c r="E13" s="6"/>
      <c r="F13" s="6"/>
      <c r="G13" s="6">
        <f t="shared" si="0"/>
        <v>0</v>
      </c>
      <c r="H13" s="6"/>
      <c r="I13" s="6"/>
      <c r="J13" s="2"/>
      <c r="K13" s="6"/>
      <c r="L13" s="6">
        <f t="shared" si="1"/>
        <v>0</v>
      </c>
      <c r="M13" s="2"/>
      <c r="N13" s="2"/>
      <c r="O13" s="2"/>
      <c r="P13" s="2"/>
      <c r="Q13" s="2"/>
    </row>
    <row r="14" spans="1:17" x14ac:dyDescent="0.35">
      <c r="A14" s="3"/>
      <c r="B14" s="2"/>
      <c r="C14" s="2"/>
      <c r="D14" s="2"/>
      <c r="E14" s="6"/>
      <c r="F14" s="6"/>
      <c r="G14" s="6">
        <f t="shared" si="0"/>
        <v>0</v>
      </c>
      <c r="H14" s="6"/>
      <c r="I14" s="6"/>
      <c r="J14" s="2"/>
      <c r="K14" s="6"/>
      <c r="L14" s="6">
        <f t="shared" si="1"/>
        <v>0</v>
      </c>
      <c r="M14" s="2"/>
      <c r="N14" s="2"/>
      <c r="O14" s="2"/>
      <c r="P14" s="2"/>
      <c r="Q14" s="2"/>
    </row>
    <row r="15" spans="1:17" x14ac:dyDescent="0.35">
      <c r="A15" s="3"/>
      <c r="B15" s="2"/>
      <c r="C15" s="2"/>
      <c r="D15" s="2"/>
      <c r="E15" s="6"/>
      <c r="F15" s="6"/>
      <c r="G15" s="6">
        <f t="shared" si="0"/>
        <v>0</v>
      </c>
      <c r="H15" s="6"/>
      <c r="I15" s="6"/>
      <c r="J15" s="2"/>
      <c r="K15" s="6"/>
      <c r="L15" s="6">
        <f t="shared" si="1"/>
        <v>0</v>
      </c>
      <c r="M15" s="2"/>
      <c r="N15" s="2"/>
      <c r="O15" s="2"/>
      <c r="P15" s="2"/>
      <c r="Q15" s="2"/>
    </row>
    <row r="16" spans="1:17" x14ac:dyDescent="0.35">
      <c r="A16" s="3"/>
      <c r="B16" s="2"/>
      <c r="C16" s="2"/>
      <c r="D16" s="2"/>
      <c r="E16" s="6"/>
      <c r="F16" s="6"/>
      <c r="G16" s="6">
        <f t="shared" si="0"/>
        <v>0</v>
      </c>
      <c r="H16" s="6"/>
      <c r="I16" s="6"/>
      <c r="J16" s="2"/>
      <c r="K16" s="6"/>
      <c r="L16" s="6">
        <f t="shared" si="1"/>
        <v>0</v>
      </c>
      <c r="M16" s="2"/>
      <c r="N16" s="2"/>
      <c r="O16" s="2"/>
      <c r="P16" s="2"/>
      <c r="Q16" s="2"/>
    </row>
    <row r="17" spans="1:17" x14ac:dyDescent="0.35">
      <c r="A17" s="3"/>
      <c r="B17" s="2"/>
      <c r="C17" s="2"/>
      <c r="D17" s="2"/>
      <c r="E17" s="6"/>
      <c r="F17" s="6"/>
      <c r="G17" s="6">
        <f t="shared" si="0"/>
        <v>0</v>
      </c>
      <c r="H17" s="6"/>
      <c r="I17" s="6"/>
      <c r="J17" s="2"/>
      <c r="K17" s="6"/>
      <c r="L17" s="6">
        <f t="shared" si="1"/>
        <v>0</v>
      </c>
      <c r="M17" s="2"/>
      <c r="N17" s="2"/>
      <c r="O17" s="2"/>
      <c r="P17" s="2"/>
      <c r="Q17" s="2"/>
    </row>
    <row r="18" spans="1:17" x14ac:dyDescent="0.35">
      <c r="A18" s="3"/>
      <c r="B18" s="2"/>
      <c r="C18" s="2"/>
      <c r="D18" s="2"/>
      <c r="E18" s="6"/>
      <c r="F18" s="6"/>
      <c r="G18" s="6">
        <f t="shared" si="0"/>
        <v>0</v>
      </c>
      <c r="H18" s="6"/>
      <c r="I18" s="6"/>
      <c r="J18" s="4"/>
      <c r="K18" s="6"/>
      <c r="L18" s="6">
        <f t="shared" si="1"/>
        <v>0</v>
      </c>
      <c r="M18" s="2"/>
      <c r="N18" s="2"/>
      <c r="O18" s="2"/>
      <c r="P18" s="2"/>
      <c r="Q18" s="2"/>
    </row>
    <row r="19" spans="1:17" x14ac:dyDescent="0.35">
      <c r="A19" s="3"/>
      <c r="B19" s="2"/>
      <c r="C19" s="2"/>
      <c r="D19" s="2"/>
      <c r="E19" s="6"/>
      <c r="F19" s="6"/>
      <c r="G19" s="6">
        <f t="shared" si="0"/>
        <v>0</v>
      </c>
      <c r="H19" s="6"/>
      <c r="I19" s="6"/>
      <c r="J19" s="2"/>
      <c r="K19" s="6"/>
      <c r="L19" s="6">
        <f t="shared" si="1"/>
        <v>0</v>
      </c>
      <c r="M19" s="2"/>
      <c r="N19" s="2"/>
      <c r="O19" s="2"/>
      <c r="P19" s="2"/>
      <c r="Q19" s="2"/>
    </row>
    <row r="20" spans="1:17" x14ac:dyDescent="0.35">
      <c r="A20" s="3"/>
      <c r="B20" s="2"/>
      <c r="C20" s="2"/>
      <c r="D20" s="2"/>
      <c r="E20" s="6"/>
      <c r="F20" s="6"/>
      <c r="G20" s="6">
        <f t="shared" si="0"/>
        <v>0</v>
      </c>
      <c r="H20" s="6"/>
      <c r="I20" s="6"/>
      <c r="J20" s="2"/>
      <c r="K20" s="6"/>
      <c r="L20" s="6">
        <f t="shared" si="1"/>
        <v>0</v>
      </c>
      <c r="M20" s="2"/>
      <c r="N20" s="2"/>
      <c r="O20" s="2"/>
      <c r="P20" s="2"/>
      <c r="Q20" s="2"/>
    </row>
    <row r="21" spans="1:17" x14ac:dyDescent="0.35">
      <c r="A21" s="3"/>
      <c r="B21" s="2"/>
      <c r="C21" s="2"/>
      <c r="D21" s="2"/>
      <c r="E21" s="6"/>
      <c r="F21" s="6"/>
      <c r="G21" s="6">
        <f t="shared" si="0"/>
        <v>0</v>
      </c>
      <c r="H21" s="6"/>
      <c r="I21" s="6"/>
      <c r="J21" s="2"/>
      <c r="K21" s="6"/>
      <c r="L21" s="6">
        <f t="shared" si="1"/>
        <v>0</v>
      </c>
      <c r="M21" s="2"/>
      <c r="N21" s="2"/>
      <c r="O21" s="2"/>
      <c r="P21" s="2"/>
      <c r="Q21" s="2"/>
    </row>
    <row r="22" spans="1:17" x14ac:dyDescent="0.35">
      <c r="A22" s="3"/>
      <c r="B22" s="2"/>
      <c r="C22" s="2"/>
      <c r="D22" s="2"/>
      <c r="E22" s="6"/>
      <c r="F22" s="6"/>
      <c r="G22" s="6">
        <f t="shared" si="0"/>
        <v>0</v>
      </c>
      <c r="H22" s="6"/>
      <c r="I22" s="6"/>
      <c r="J22" s="2"/>
      <c r="K22" s="6"/>
      <c r="L22" s="6">
        <f t="shared" si="1"/>
        <v>0</v>
      </c>
      <c r="M22" s="2"/>
      <c r="N22" s="2"/>
      <c r="O22" s="2"/>
      <c r="P22" s="2"/>
      <c r="Q22" s="2"/>
    </row>
    <row r="23" spans="1:17" x14ac:dyDescent="0.35">
      <c r="A23" s="3"/>
      <c r="B23" s="2"/>
      <c r="C23" s="2"/>
      <c r="D23" s="2"/>
      <c r="E23" s="6"/>
      <c r="F23" s="6"/>
      <c r="G23" s="6">
        <f t="shared" si="0"/>
        <v>0</v>
      </c>
      <c r="H23" s="6"/>
      <c r="I23" s="6"/>
      <c r="J23" s="2"/>
      <c r="K23" s="6"/>
      <c r="L23" s="6">
        <f t="shared" si="1"/>
        <v>0</v>
      </c>
      <c r="M23" s="2"/>
      <c r="N23" s="2"/>
      <c r="O23" s="2"/>
      <c r="P23" s="2"/>
      <c r="Q23" s="2"/>
    </row>
    <row r="24" spans="1:17" x14ac:dyDescent="0.35">
      <c r="A24" s="3"/>
      <c r="B24" s="2"/>
      <c r="C24" s="2"/>
      <c r="D24" s="2"/>
      <c r="E24" s="6"/>
      <c r="F24" s="6"/>
      <c r="G24" s="6">
        <f t="shared" si="0"/>
        <v>0</v>
      </c>
      <c r="H24" s="6"/>
      <c r="I24" s="6"/>
      <c r="J24" s="2"/>
      <c r="K24" s="6"/>
      <c r="L24" s="6">
        <f t="shared" si="1"/>
        <v>0</v>
      </c>
      <c r="M24" s="2"/>
      <c r="N24" s="2"/>
      <c r="O24" s="2"/>
      <c r="P24" s="2"/>
      <c r="Q24" s="2"/>
    </row>
    <row r="25" spans="1:17" x14ac:dyDescent="0.35">
      <c r="A25" s="3"/>
      <c r="B25" s="2"/>
      <c r="C25" s="2"/>
      <c r="D25" s="2"/>
      <c r="E25" s="6"/>
      <c r="F25" s="6"/>
      <c r="G25" s="6">
        <f t="shared" si="0"/>
        <v>0</v>
      </c>
      <c r="H25" s="6"/>
      <c r="I25" s="6"/>
      <c r="J25" s="2"/>
      <c r="K25" s="6"/>
      <c r="L25" s="6">
        <f t="shared" si="1"/>
        <v>0</v>
      </c>
      <c r="M25" s="2"/>
      <c r="N25" s="2"/>
      <c r="O25" s="2"/>
      <c r="P25" s="2"/>
    </row>
    <row r="26" spans="1:17" x14ac:dyDescent="0.35">
      <c r="A26" s="3"/>
      <c r="B26" s="2"/>
      <c r="C26" s="2"/>
      <c r="D26" s="2"/>
      <c r="E26" s="6"/>
      <c r="F26" s="6"/>
      <c r="G26" s="6">
        <f t="shared" si="0"/>
        <v>0</v>
      </c>
      <c r="H26" s="6"/>
      <c r="I26" s="6"/>
      <c r="J26" s="2"/>
      <c r="K26" s="6"/>
      <c r="L26" s="6">
        <f t="shared" si="1"/>
        <v>0</v>
      </c>
      <c r="M26" s="2"/>
      <c r="N26" s="2"/>
      <c r="O26" s="2"/>
      <c r="P26" s="2"/>
      <c r="Q26" s="2"/>
    </row>
    <row r="27" spans="1:17" x14ac:dyDescent="0.35">
      <c r="A27" s="3"/>
      <c r="B27" s="2"/>
      <c r="C27" s="2"/>
      <c r="D27" s="2"/>
      <c r="E27" s="6"/>
      <c r="F27" s="6"/>
      <c r="G27" s="6">
        <f t="shared" si="0"/>
        <v>0</v>
      </c>
      <c r="H27" s="6"/>
      <c r="I27" s="6"/>
      <c r="J27" s="2"/>
      <c r="K27" s="6"/>
      <c r="L27" s="6">
        <f t="shared" si="1"/>
        <v>0</v>
      </c>
      <c r="M27" s="2"/>
      <c r="N27" s="2"/>
      <c r="O27" s="2"/>
      <c r="P27" s="2"/>
      <c r="Q27" s="2"/>
    </row>
    <row r="28" spans="1:17" x14ac:dyDescent="0.35">
      <c r="A28" s="3"/>
      <c r="B28" s="2"/>
      <c r="C28" s="2"/>
      <c r="D28" s="2"/>
      <c r="E28" s="6"/>
      <c r="F28" s="6"/>
      <c r="G28" s="6">
        <f t="shared" si="0"/>
        <v>0</v>
      </c>
      <c r="H28" s="6"/>
      <c r="I28" s="6"/>
      <c r="J28" s="2"/>
      <c r="K28" s="6"/>
      <c r="L28" s="6">
        <f t="shared" si="1"/>
        <v>0</v>
      </c>
      <c r="M28" s="2"/>
      <c r="N28" s="2"/>
      <c r="O28" s="2"/>
      <c r="P28" s="2"/>
      <c r="Q28" s="2"/>
    </row>
    <row r="29" spans="1:17" x14ac:dyDescent="0.35">
      <c r="A29" s="3"/>
      <c r="B29" s="2"/>
      <c r="C29" s="2"/>
      <c r="D29" s="2"/>
      <c r="E29" s="6"/>
      <c r="F29" s="6"/>
      <c r="G29" s="6">
        <f t="shared" si="0"/>
        <v>0</v>
      </c>
      <c r="H29" s="6"/>
      <c r="I29" s="6"/>
      <c r="J29" s="2"/>
      <c r="K29" s="6"/>
      <c r="L29" s="6">
        <f t="shared" si="1"/>
        <v>0</v>
      </c>
      <c r="M29" s="2"/>
      <c r="N29" s="2"/>
      <c r="O29" s="2"/>
      <c r="P29" s="2"/>
      <c r="Q29" s="2"/>
    </row>
    <row r="30" spans="1:17" x14ac:dyDescent="0.35">
      <c r="A30" s="3"/>
      <c r="B30" s="2"/>
      <c r="C30" s="2"/>
      <c r="D30" s="2"/>
      <c r="E30" s="6"/>
      <c r="F30" s="6"/>
      <c r="G30" s="6">
        <f>E30-F30</f>
        <v>0</v>
      </c>
      <c r="H30" s="6"/>
      <c r="I30" s="6"/>
      <c r="J30" s="2"/>
      <c r="K30" s="6"/>
      <c r="L30" s="6">
        <f t="shared" si="1"/>
        <v>0</v>
      </c>
      <c r="N30" s="2"/>
      <c r="O30" s="2"/>
      <c r="P30" s="2"/>
    </row>
    <row r="31" spans="1:17" x14ac:dyDescent="0.35">
      <c r="A31" s="3"/>
      <c r="B31" s="2"/>
      <c r="C31" s="2"/>
      <c r="D31" s="2"/>
      <c r="E31" s="6"/>
      <c r="F31" s="6"/>
      <c r="G31" s="6">
        <f>E31-F31</f>
        <v>0</v>
      </c>
      <c r="H31" s="6"/>
      <c r="I31" s="6"/>
      <c r="J31" s="2"/>
      <c r="K31" s="6"/>
      <c r="L31" s="6">
        <f>SUM(H31:K31)</f>
        <v>0</v>
      </c>
      <c r="M31" s="2"/>
      <c r="N31" s="2"/>
      <c r="O31" s="2"/>
      <c r="P31" s="2"/>
      <c r="Q31" s="2"/>
    </row>
    <row r="32" spans="1:17" x14ac:dyDescent="0.35">
      <c r="A32" s="3"/>
      <c r="B32" s="2"/>
      <c r="C32" s="2"/>
      <c r="D32" s="2"/>
      <c r="E32" s="6"/>
      <c r="F32" s="6"/>
      <c r="G32" s="6">
        <f t="shared" si="0"/>
        <v>0</v>
      </c>
      <c r="H32" s="6"/>
      <c r="I32" s="6"/>
      <c r="J32" s="2"/>
      <c r="K32" s="6"/>
      <c r="L32" s="6">
        <f t="shared" si="1"/>
        <v>0</v>
      </c>
      <c r="M32" s="2"/>
      <c r="N32" s="2"/>
      <c r="O32" s="2"/>
      <c r="P32" s="2"/>
      <c r="Q32" s="2"/>
    </row>
    <row r="33" spans="1:17" x14ac:dyDescent="0.35">
      <c r="A33" s="3"/>
      <c r="B33" s="2"/>
      <c r="C33" s="2"/>
      <c r="D33" s="2"/>
      <c r="E33" s="6"/>
      <c r="F33" s="6"/>
      <c r="G33" s="6">
        <f t="shared" si="0"/>
        <v>0</v>
      </c>
      <c r="H33" s="6"/>
      <c r="I33" s="6"/>
      <c r="J33" s="2"/>
      <c r="K33" s="6"/>
      <c r="L33" s="6">
        <f t="shared" si="1"/>
        <v>0</v>
      </c>
      <c r="M33" s="2"/>
      <c r="N33" s="2"/>
      <c r="O33" s="2"/>
      <c r="P33" s="2"/>
      <c r="Q33" s="2"/>
    </row>
    <row r="34" spans="1:17" x14ac:dyDescent="0.35">
      <c r="A34" s="3"/>
      <c r="B34" s="2"/>
      <c r="C34" s="2"/>
      <c r="D34" s="2"/>
      <c r="G34" s="6">
        <f t="shared" si="0"/>
        <v>0</v>
      </c>
      <c r="L34" s="6"/>
      <c r="M34" s="2"/>
      <c r="N34" s="2"/>
      <c r="O34" s="2"/>
      <c r="P34" s="2"/>
      <c r="Q34" s="2"/>
    </row>
    <row r="35" spans="1:17" x14ac:dyDescent="0.35">
      <c r="A35" s="3"/>
      <c r="B35" s="2"/>
      <c r="C35" s="2"/>
      <c r="D35" s="2"/>
      <c r="L35" s="6"/>
      <c r="M35" s="2"/>
      <c r="N35" s="2"/>
      <c r="O35" s="2"/>
      <c r="P35" s="2"/>
      <c r="Q35" s="2"/>
    </row>
    <row r="36" spans="1:17" x14ac:dyDescent="0.35">
      <c r="A36" s="3"/>
      <c r="B36" s="2"/>
      <c r="C36" s="2"/>
      <c r="D36" s="2"/>
      <c r="E36" s="10" t="s">
        <v>22</v>
      </c>
      <c r="F36" s="10" t="s">
        <v>22</v>
      </c>
      <c r="G36" s="10" t="s">
        <v>22</v>
      </c>
      <c r="H36" s="10" t="s">
        <v>22</v>
      </c>
      <c r="I36" s="10" t="s">
        <v>22</v>
      </c>
      <c r="J36" s="9" t="s">
        <v>22</v>
      </c>
      <c r="K36" s="10" t="s">
        <v>22</v>
      </c>
      <c r="L36" s="6"/>
      <c r="M36" s="2"/>
      <c r="N36" s="2"/>
      <c r="O36" s="2"/>
      <c r="P36" s="2"/>
      <c r="Q36" s="2"/>
    </row>
    <row r="37" spans="1:17" x14ac:dyDescent="0.35">
      <c r="A37" s="2"/>
      <c r="B37" s="2"/>
      <c r="C37" s="2"/>
      <c r="D37" s="2"/>
      <c r="E37" s="10">
        <f t="shared" ref="E37:K37" si="2">SUM(E4:E33)</f>
        <v>0</v>
      </c>
      <c r="F37" s="10">
        <f t="shared" si="2"/>
        <v>0</v>
      </c>
      <c r="G37" s="11">
        <f t="shared" si="2"/>
        <v>0</v>
      </c>
      <c r="H37" s="10">
        <f t="shared" si="2"/>
        <v>0</v>
      </c>
      <c r="I37" s="10">
        <f t="shared" si="2"/>
        <v>0</v>
      </c>
      <c r="J37" s="13">
        <f t="shared" si="2"/>
        <v>0</v>
      </c>
      <c r="K37" s="10">
        <f t="shared" si="2"/>
        <v>0</v>
      </c>
      <c r="L37" s="6"/>
      <c r="M37" s="2"/>
      <c r="N37" s="2"/>
      <c r="O37" s="2"/>
      <c r="P37" s="2"/>
      <c r="Q37" s="2"/>
    </row>
    <row r="38" spans="1:17" x14ac:dyDescent="0.35">
      <c r="G38" s="16"/>
      <c r="J38" s="17"/>
    </row>
    <row r="39" spans="1:17" ht="20" customHeight="1" x14ac:dyDescent="0.35"/>
    <row r="40" spans="1:17" ht="18.5" x14ac:dyDescent="0.45">
      <c r="A40" s="197" t="s">
        <v>23</v>
      </c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</row>
    <row r="41" spans="1:17" x14ac:dyDescent="0.35">
      <c r="A41" s="7"/>
      <c r="B41" s="7"/>
      <c r="C41" s="7"/>
      <c r="D41" s="7"/>
      <c r="J41" s="7"/>
      <c r="M41" s="7"/>
    </row>
    <row r="42" spans="1:17" x14ac:dyDescent="0.35">
      <c r="A42" s="14" t="s">
        <v>24</v>
      </c>
      <c r="B42" s="6"/>
      <c r="C42" s="6"/>
      <c r="D42" s="6">
        <f>SUM(E4:E33)</f>
        <v>0</v>
      </c>
      <c r="E42" s="6"/>
      <c r="F42" s="6">
        <f t="shared" ref="F42:F48" si="3">D42/11</f>
        <v>0</v>
      </c>
      <c r="G42" s="6" t="s">
        <v>25</v>
      </c>
      <c r="J42" s="7"/>
      <c r="M42" s="7"/>
    </row>
    <row r="43" spans="1:17" x14ac:dyDescent="0.35">
      <c r="A43" s="14" t="s">
        <v>26</v>
      </c>
      <c r="B43" s="6"/>
      <c r="C43" s="6"/>
      <c r="D43" s="6">
        <f>SUM(F4:F33)</f>
        <v>0</v>
      </c>
      <c r="E43" s="6"/>
      <c r="F43" s="6">
        <f t="shared" si="3"/>
        <v>0</v>
      </c>
      <c r="G43" s="6" t="s">
        <v>25</v>
      </c>
      <c r="J43" s="7"/>
      <c r="M43" s="7"/>
    </row>
    <row r="44" spans="1:17" x14ac:dyDescent="0.35">
      <c r="A44" s="14" t="s">
        <v>27</v>
      </c>
      <c r="B44" s="6"/>
      <c r="C44" s="6"/>
      <c r="D44" s="6">
        <f>SUM(G4:G33)</f>
        <v>0</v>
      </c>
      <c r="E44" s="6"/>
      <c r="F44" s="6">
        <f t="shared" si="3"/>
        <v>0</v>
      </c>
      <c r="G44" s="6" t="s">
        <v>25</v>
      </c>
      <c r="J44" s="7"/>
      <c r="M44" s="7"/>
    </row>
    <row r="45" spans="1:17" x14ac:dyDescent="0.35">
      <c r="A45" s="14" t="s">
        <v>50</v>
      </c>
      <c r="B45" s="6"/>
      <c r="C45" s="6"/>
      <c r="D45" s="6">
        <f>SUM(H4:H33)</f>
        <v>0</v>
      </c>
      <c r="E45" s="6"/>
      <c r="F45" s="6">
        <f t="shared" si="3"/>
        <v>0</v>
      </c>
      <c r="G45" s="6" t="s">
        <v>25</v>
      </c>
      <c r="J45" s="7"/>
      <c r="M45" s="7"/>
    </row>
    <row r="46" spans="1:17" x14ac:dyDescent="0.35">
      <c r="A46" s="14" t="s">
        <v>49</v>
      </c>
      <c r="B46" s="6"/>
      <c r="C46" s="6"/>
      <c r="D46" s="6">
        <f>SUM(I4:I33)</f>
        <v>0</v>
      </c>
      <c r="E46" s="6"/>
      <c r="F46" s="6">
        <f t="shared" si="3"/>
        <v>0</v>
      </c>
      <c r="G46" s="6" t="s">
        <v>25</v>
      </c>
      <c r="J46" s="7"/>
      <c r="M46" s="7"/>
    </row>
    <row r="47" spans="1:17" x14ac:dyDescent="0.35">
      <c r="A47" s="14" t="s">
        <v>28</v>
      </c>
      <c r="B47" s="6"/>
      <c r="C47" s="6"/>
      <c r="D47" s="6">
        <f>SUM(J4:J33)</f>
        <v>0</v>
      </c>
      <c r="E47" s="6"/>
      <c r="F47" s="6">
        <f t="shared" si="3"/>
        <v>0</v>
      </c>
      <c r="G47" s="6" t="s">
        <v>25</v>
      </c>
      <c r="J47" s="7"/>
      <c r="M47" s="7"/>
    </row>
    <row r="48" spans="1:17" x14ac:dyDescent="0.35">
      <c r="A48" s="14" t="s">
        <v>29</v>
      </c>
      <c r="B48" s="6"/>
      <c r="C48" s="6"/>
      <c r="D48" s="6">
        <f>SUM(K4:K33)</f>
        <v>0</v>
      </c>
      <c r="E48" s="6"/>
      <c r="F48" s="6">
        <f t="shared" si="3"/>
        <v>0</v>
      </c>
      <c r="G48" s="6" t="s">
        <v>25</v>
      </c>
      <c r="J48" s="7"/>
      <c r="M48" s="7"/>
    </row>
    <row r="49" spans="1:13" x14ac:dyDescent="0.35">
      <c r="A49" s="125" t="s">
        <v>119</v>
      </c>
      <c r="B49" s="7"/>
      <c r="C49" s="7"/>
      <c r="D49" s="7"/>
      <c r="J49" s="7"/>
      <c r="M49" s="7"/>
    </row>
    <row r="50" spans="1:13" x14ac:dyDescent="0.35">
      <c r="A50" s="125" t="s">
        <v>120</v>
      </c>
    </row>
    <row r="51" spans="1:13" x14ac:dyDescent="0.35">
      <c r="A51" s="7"/>
      <c r="B51" s="7"/>
      <c r="C51" s="7"/>
      <c r="D51" s="7"/>
      <c r="J51" s="7"/>
      <c r="M51" s="7"/>
    </row>
    <row r="52" spans="1:13" x14ac:dyDescent="0.35">
      <c r="A52" s="7"/>
      <c r="B52" s="7"/>
      <c r="C52" s="7"/>
      <c r="D52" s="7"/>
      <c r="J52" s="7"/>
      <c r="M52" s="7"/>
    </row>
    <row r="53" spans="1:13" x14ac:dyDescent="0.35">
      <c r="A53" s="15" t="s">
        <v>30</v>
      </c>
      <c r="B53" s="7"/>
      <c r="C53" s="7"/>
      <c r="D53" s="7">
        <f>SUM(F4:F33)</f>
        <v>0</v>
      </c>
      <c r="J53" s="7"/>
      <c r="M53" s="7"/>
    </row>
    <row r="54" spans="1:13" x14ac:dyDescent="0.35">
      <c r="A54" s="7"/>
      <c r="B54" s="7"/>
      <c r="C54" s="7"/>
      <c r="D54" s="7"/>
      <c r="J54" s="7"/>
      <c r="M54" s="7"/>
    </row>
    <row r="55" spans="1:13" x14ac:dyDescent="0.35">
      <c r="A55" s="7"/>
      <c r="B55" s="7"/>
      <c r="C55" s="7"/>
      <c r="D55" s="7"/>
      <c r="J55" s="7"/>
      <c r="M55" s="7"/>
    </row>
    <row r="56" spans="1:13" x14ac:dyDescent="0.35">
      <c r="A56" s="7"/>
      <c r="B56" s="7"/>
      <c r="C56" s="7"/>
      <c r="D56" s="7"/>
      <c r="J56" s="7"/>
      <c r="M56" s="7"/>
    </row>
    <row r="57" spans="1:13" x14ac:dyDescent="0.35">
      <c r="A57" s="7"/>
      <c r="B57" s="7"/>
      <c r="C57" s="7"/>
      <c r="D57" s="7"/>
      <c r="J57" s="7"/>
      <c r="M57" s="7"/>
    </row>
    <row r="58" spans="1:13" x14ac:dyDescent="0.35">
      <c r="A58" s="7"/>
      <c r="B58" s="7"/>
      <c r="C58" s="7"/>
      <c r="D58" s="7"/>
      <c r="J58" s="7"/>
      <c r="M58" s="7"/>
    </row>
  </sheetData>
  <mergeCells count="2">
    <mergeCell ref="A1:Q1"/>
    <mergeCell ref="A40:Q40"/>
  </mergeCells>
  <conditionalFormatting sqref="G4:G34 G36:G38">
    <cfRule type="expression" dxfId="3" priority="1">
      <formula>G4&gt;4</formula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ECBD1-E357-47F3-B716-E136C8E63C15}">
  <dimension ref="A1:J81"/>
  <sheetViews>
    <sheetView workbookViewId="0">
      <selection activeCell="H57" sqref="H57"/>
    </sheetView>
  </sheetViews>
  <sheetFormatPr defaultRowHeight="14.5" x14ac:dyDescent="0.35"/>
  <cols>
    <col min="1" max="1" width="17" customWidth="1"/>
    <col min="2" max="2" width="20.26953125" customWidth="1"/>
    <col min="3" max="3" width="18" customWidth="1"/>
    <col min="4" max="4" width="23.6328125" customWidth="1"/>
    <col min="5" max="5" width="17.08984375" style="94" customWidth="1"/>
    <col min="6" max="6" width="19.81640625" style="7" customWidth="1"/>
    <col min="7" max="7" width="16.81640625" style="93" customWidth="1"/>
    <col min="8" max="8" width="59.36328125" customWidth="1"/>
    <col min="9" max="9" width="18" customWidth="1"/>
    <col min="10" max="10" width="55.453125" customWidth="1"/>
  </cols>
  <sheetData>
    <row r="1" spans="1:10" ht="21" x14ac:dyDescent="0.35">
      <c r="A1" s="195" t="s">
        <v>15</v>
      </c>
      <c r="B1" s="196"/>
      <c r="C1" s="196"/>
      <c r="D1" s="196"/>
      <c r="E1" s="196"/>
      <c r="F1" s="196"/>
      <c r="G1" s="196"/>
      <c r="H1" s="196"/>
      <c r="I1" s="196"/>
      <c r="J1" s="196"/>
    </row>
    <row r="3" spans="1:10" x14ac:dyDescent="0.35">
      <c r="A3" s="1" t="s">
        <v>0</v>
      </c>
      <c r="B3" s="1" t="s">
        <v>1</v>
      </c>
      <c r="C3" s="1" t="s">
        <v>2</v>
      </c>
      <c r="D3" s="1" t="s">
        <v>3</v>
      </c>
      <c r="E3" s="88" t="s">
        <v>91</v>
      </c>
      <c r="F3" s="5" t="s">
        <v>92</v>
      </c>
      <c r="G3" s="88" t="s">
        <v>6</v>
      </c>
      <c r="H3" s="1" t="s">
        <v>10</v>
      </c>
      <c r="I3" s="1" t="s">
        <v>11</v>
      </c>
      <c r="J3" s="1" t="s">
        <v>100</v>
      </c>
    </row>
    <row r="4" spans="1:10" x14ac:dyDescent="0.35">
      <c r="A4" s="3"/>
      <c r="C4" s="2"/>
      <c r="D4" s="2"/>
      <c r="E4" s="100"/>
      <c r="F4" s="100"/>
      <c r="G4" s="90">
        <f>Tabela_Abril10[[#This Row],[Horário até:]]-Tabela_Abril10[[#This Row],[Horário de:]]</f>
        <v>0</v>
      </c>
      <c r="H4" s="140"/>
      <c r="I4" s="2"/>
      <c r="J4" s="2"/>
    </row>
    <row r="5" spans="1:10" x14ac:dyDescent="0.35">
      <c r="A5" s="3"/>
      <c r="C5" s="2"/>
      <c r="D5" s="2"/>
      <c r="E5" s="100"/>
      <c r="F5" s="100"/>
      <c r="G5" s="90">
        <f>Tabela_Abril10[[#This Row],[Horário até:]]-Tabela_Abril10[[#This Row],[Horário de:]]</f>
        <v>0</v>
      </c>
      <c r="H5" s="2"/>
      <c r="I5" s="2"/>
      <c r="J5" s="2"/>
    </row>
    <row r="6" spans="1:10" x14ac:dyDescent="0.35">
      <c r="A6" s="3"/>
      <c r="C6" s="2"/>
      <c r="D6" s="2"/>
      <c r="E6" s="100"/>
      <c r="F6" s="100"/>
      <c r="G6" s="90">
        <f>Tabela_Abril10[[#This Row],[Horário até:]]-Tabela_Abril10[[#This Row],[Horário de:]]</f>
        <v>0</v>
      </c>
      <c r="H6" s="140"/>
      <c r="I6" s="2"/>
      <c r="J6" s="2"/>
    </row>
    <row r="7" spans="1:10" x14ac:dyDescent="0.35">
      <c r="A7" s="3"/>
      <c r="C7" s="2"/>
      <c r="D7" s="2"/>
      <c r="E7" s="100"/>
      <c r="F7" s="100"/>
      <c r="G7" s="90">
        <f>Tabela_Abril10[[#This Row],[Horário até:]]-Tabela_Abril10[[#This Row],[Horário de:]]</f>
        <v>0</v>
      </c>
      <c r="H7" s="140"/>
      <c r="I7" s="2"/>
      <c r="J7" s="2"/>
    </row>
    <row r="8" spans="1:10" x14ac:dyDescent="0.35">
      <c r="A8" s="3"/>
      <c r="C8" s="2"/>
      <c r="D8" s="2"/>
      <c r="E8" s="100"/>
      <c r="F8" s="100"/>
      <c r="G8" s="90">
        <f>Tabela_Abril10[[#This Row],[Horário até:]]-Tabela_Abril10[[#This Row],[Horário de:]]</f>
        <v>0</v>
      </c>
      <c r="H8" s="140"/>
      <c r="I8" s="2"/>
      <c r="J8" s="2"/>
    </row>
    <row r="9" spans="1:10" x14ac:dyDescent="0.35">
      <c r="A9" s="3"/>
      <c r="C9" s="2"/>
      <c r="D9" s="2"/>
      <c r="E9" s="100"/>
      <c r="F9" s="100"/>
      <c r="G9" s="90">
        <f>Tabela_Abril10[[#This Row],[Horário até:]]-Tabela_Abril10[[#This Row],[Horário de:]]</f>
        <v>0</v>
      </c>
      <c r="H9" s="140"/>
      <c r="I9" s="2"/>
      <c r="J9" s="2"/>
    </row>
    <row r="10" spans="1:10" x14ac:dyDescent="0.35">
      <c r="A10" s="3"/>
      <c r="C10" s="2"/>
      <c r="D10" s="2"/>
      <c r="E10" s="100"/>
      <c r="F10" s="100"/>
      <c r="G10" s="90">
        <f>Tabela_Abril10[[#This Row],[Horário até:]]-Tabela_Abril10[[#This Row],[Horário de:]]</f>
        <v>0</v>
      </c>
      <c r="H10" s="140"/>
      <c r="I10" s="2"/>
      <c r="J10" s="2"/>
    </row>
    <row r="11" spans="1:10" x14ac:dyDescent="0.35">
      <c r="A11" s="3"/>
      <c r="C11" s="2"/>
      <c r="D11" s="2"/>
      <c r="E11" s="100"/>
      <c r="F11" s="100"/>
      <c r="G11" s="90">
        <f>Tabela_Abril10[[#This Row],[Horário até:]]-Tabela_Abril10[[#This Row],[Horário de:]]</f>
        <v>0</v>
      </c>
      <c r="H11" s="2"/>
      <c r="I11" s="2"/>
      <c r="J11" s="2"/>
    </row>
    <row r="12" spans="1:10" x14ac:dyDescent="0.35">
      <c r="A12" s="3"/>
      <c r="C12" s="2"/>
      <c r="D12" s="2"/>
      <c r="E12" s="100"/>
      <c r="F12" s="100"/>
      <c r="G12" s="90">
        <f>Tabela_Abril10[[#This Row],[Horário até:]]-Tabela_Abril10[[#This Row],[Horário de:]]</f>
        <v>0</v>
      </c>
      <c r="H12" s="140"/>
      <c r="I12" s="2"/>
      <c r="J12" s="2"/>
    </row>
    <row r="13" spans="1:10" x14ac:dyDescent="0.35">
      <c r="A13" s="3"/>
      <c r="C13" s="2"/>
      <c r="D13" s="2"/>
      <c r="E13" s="100"/>
      <c r="F13" s="100"/>
      <c r="G13" s="90">
        <f>Tabela_Abril10[[#This Row],[Horário até:]]-Tabela_Abril10[[#This Row],[Horário de:]]</f>
        <v>0</v>
      </c>
      <c r="H13" s="2"/>
      <c r="I13" s="2"/>
      <c r="J13" s="2"/>
    </row>
    <row r="14" spans="1:10" x14ac:dyDescent="0.35">
      <c r="A14" s="3"/>
      <c r="C14" s="2"/>
      <c r="D14" s="2"/>
      <c r="E14" s="100"/>
      <c r="F14" s="100"/>
      <c r="G14" s="90">
        <f>Tabela_Abril10[[#This Row],[Horário até:]]-Tabela_Abril10[[#This Row],[Horário de:]]</f>
        <v>0</v>
      </c>
      <c r="H14" s="12"/>
      <c r="I14" s="2"/>
      <c r="J14" s="2"/>
    </row>
    <row r="15" spans="1:10" x14ac:dyDescent="0.35">
      <c r="A15" s="3"/>
      <c r="C15" s="2"/>
      <c r="D15" s="2"/>
      <c r="E15" s="100"/>
      <c r="F15" s="100"/>
      <c r="G15" s="90">
        <f>Tabela_Abril10[[#This Row],[Horário até:]]-Tabela_Abril10[[#This Row],[Horário de:]]</f>
        <v>0</v>
      </c>
      <c r="H15" s="12"/>
      <c r="I15" s="2"/>
      <c r="J15" s="2"/>
    </row>
    <row r="16" spans="1:10" x14ac:dyDescent="0.35">
      <c r="A16" s="3"/>
      <c r="C16" s="2"/>
      <c r="D16" s="2"/>
      <c r="E16" s="100"/>
      <c r="F16" s="100"/>
      <c r="G16" s="90">
        <f>Tabela_Abril10[[#This Row],[Horário até:]]-Tabela_Abril10[[#This Row],[Horário de:]]</f>
        <v>0</v>
      </c>
      <c r="H16" s="12"/>
      <c r="I16" s="2"/>
      <c r="J16" s="2"/>
    </row>
    <row r="17" spans="1:10" x14ac:dyDescent="0.35">
      <c r="A17" s="3"/>
      <c r="C17" s="2"/>
      <c r="D17" s="2"/>
      <c r="E17" s="100"/>
      <c r="F17" s="100"/>
      <c r="G17" s="90">
        <f>Tabela_Abril10[[#This Row],[Horário até:]]-Tabela_Abril10[[#This Row],[Horário de:]]</f>
        <v>0</v>
      </c>
      <c r="H17" s="12"/>
      <c r="I17" s="2"/>
      <c r="J17" s="2"/>
    </row>
    <row r="18" spans="1:10" x14ac:dyDescent="0.35">
      <c r="A18" s="3"/>
      <c r="C18" s="2"/>
      <c r="D18" s="2"/>
      <c r="E18" s="100"/>
      <c r="F18" s="100"/>
      <c r="G18" s="90">
        <f>Tabela_Abril10[[#This Row],[Horário até:]]-Tabela_Abril10[[#This Row],[Horário de:]]</f>
        <v>0</v>
      </c>
      <c r="H18" s="12"/>
      <c r="I18" s="2"/>
      <c r="J18" s="2"/>
    </row>
    <row r="19" spans="1:10" x14ac:dyDescent="0.35">
      <c r="A19" s="3"/>
      <c r="C19" s="2"/>
      <c r="D19" s="2"/>
      <c r="E19" s="100"/>
      <c r="F19" s="100"/>
      <c r="G19" s="90">
        <f>Tabela_Abril10[[#This Row],[Horário até:]]-Tabela_Abril10[[#This Row],[Horário de:]]</f>
        <v>0</v>
      </c>
      <c r="H19" s="12"/>
      <c r="I19" s="2"/>
      <c r="J19" s="2"/>
    </row>
    <row r="20" spans="1:10" x14ac:dyDescent="0.35">
      <c r="A20" s="3"/>
      <c r="C20" s="2"/>
      <c r="D20" s="2"/>
      <c r="E20" s="100"/>
      <c r="F20" s="100"/>
      <c r="G20" s="90">
        <f>Tabela_Abril10[[#This Row],[Horário até:]]-Tabela_Abril10[[#This Row],[Horário de:]]</f>
        <v>0</v>
      </c>
      <c r="H20" s="12"/>
      <c r="I20" s="2"/>
      <c r="J20" s="2"/>
    </row>
    <row r="21" spans="1:10" x14ac:dyDescent="0.35">
      <c r="A21" s="3"/>
      <c r="C21" s="2"/>
      <c r="D21" s="2"/>
      <c r="E21" s="100"/>
      <c r="F21" s="100"/>
      <c r="G21" s="90">
        <f>Tabela_Abril10[[#This Row],[Horário até:]]-Tabela_Abril10[[#This Row],[Horário de:]]</f>
        <v>0</v>
      </c>
      <c r="H21" s="12"/>
      <c r="I21" s="2"/>
      <c r="J21" s="2"/>
    </row>
    <row r="22" spans="1:10" x14ac:dyDescent="0.35">
      <c r="A22" s="3"/>
      <c r="C22" s="2"/>
      <c r="D22" s="2"/>
      <c r="E22" s="89"/>
      <c r="F22" s="100"/>
      <c r="G22" s="90">
        <f>Tabela_Abril10[[#This Row],[Horário até:]]-Tabela_Abril10[[#This Row],[Horário de:]]</f>
        <v>0</v>
      </c>
      <c r="H22" s="12"/>
      <c r="I22" s="2"/>
      <c r="J22" s="2"/>
    </row>
    <row r="23" spans="1:10" x14ac:dyDescent="0.35">
      <c r="A23" s="3"/>
      <c r="C23" s="2"/>
      <c r="D23" s="2"/>
      <c r="E23" s="89"/>
      <c r="F23" s="100"/>
      <c r="G23" s="90">
        <f>Tabela_Abril10[[#This Row],[Horário até:]]-Tabela_Abril10[[#This Row],[Horário de:]]</f>
        <v>0</v>
      </c>
      <c r="H23" s="12"/>
      <c r="I23" s="2"/>
      <c r="J23" s="2"/>
    </row>
    <row r="24" spans="1:10" x14ac:dyDescent="0.35">
      <c r="A24" s="3"/>
      <c r="C24" s="2"/>
      <c r="D24" s="2"/>
      <c r="E24" s="89"/>
      <c r="F24" s="100"/>
      <c r="G24" s="90">
        <f>Tabela_Abril10[[#This Row],[Horário até:]]-Tabela_Abril10[[#This Row],[Horário de:]]</f>
        <v>0</v>
      </c>
      <c r="H24" s="12"/>
      <c r="I24" s="2"/>
      <c r="J24" s="2"/>
    </row>
    <row r="25" spans="1:10" x14ac:dyDescent="0.35">
      <c r="A25" s="3"/>
      <c r="C25" s="2"/>
      <c r="D25" s="2"/>
      <c r="E25" s="89"/>
      <c r="F25" s="100"/>
      <c r="G25" s="90">
        <f>Tabela_Abril10[[#This Row],[Horário até:]]-Tabela_Abril10[[#This Row],[Horário de:]]</f>
        <v>0</v>
      </c>
      <c r="H25" s="12"/>
      <c r="I25" s="2"/>
      <c r="J25" s="2"/>
    </row>
    <row r="26" spans="1:10" x14ac:dyDescent="0.35">
      <c r="A26" s="3"/>
      <c r="C26" s="2"/>
      <c r="D26" s="2"/>
      <c r="E26" s="89"/>
      <c r="F26" s="100"/>
      <c r="G26" s="90">
        <f>Tabela_Abril10[[#This Row],[Horário até:]]-Tabela_Abril10[[#This Row],[Horário de:]]</f>
        <v>0</v>
      </c>
      <c r="H26" s="12"/>
      <c r="I26" s="2"/>
      <c r="J26" s="2"/>
    </row>
    <row r="27" spans="1:10" x14ac:dyDescent="0.35">
      <c r="A27" s="3"/>
      <c r="C27" s="2"/>
      <c r="D27" s="2"/>
      <c r="E27" s="89"/>
      <c r="F27" s="100"/>
      <c r="G27" s="90">
        <f>Tabela_Abril10[[#This Row],[Horário até:]]-Tabela_Abril10[[#This Row],[Horário de:]]</f>
        <v>0</v>
      </c>
      <c r="H27" s="12"/>
      <c r="I27" s="2"/>
      <c r="J27" s="2"/>
    </row>
    <row r="28" spans="1:10" x14ac:dyDescent="0.35">
      <c r="A28" s="3"/>
      <c r="C28" s="2"/>
      <c r="D28" s="2"/>
      <c r="E28" s="89"/>
      <c r="F28" s="100"/>
      <c r="G28" s="90">
        <f>Tabela_Abril10[[#This Row],[Horário até:]]-Tabela_Abril10[[#This Row],[Horário de:]]</f>
        <v>0</v>
      </c>
      <c r="H28" s="12"/>
      <c r="I28" s="2"/>
      <c r="J28" s="2"/>
    </row>
    <row r="29" spans="1:10" x14ac:dyDescent="0.35">
      <c r="A29" s="3"/>
      <c r="C29" s="2"/>
      <c r="D29" s="2"/>
      <c r="E29" s="100"/>
      <c r="F29" s="100"/>
      <c r="G29" s="90">
        <f>Tabela_Abril10[[#This Row],[Horário até:]]-Tabela_Abril10[[#This Row],[Horário de:]]</f>
        <v>0</v>
      </c>
      <c r="H29" s="12"/>
      <c r="I29" s="2"/>
      <c r="J29" s="2"/>
    </row>
    <row r="30" spans="1:10" x14ac:dyDescent="0.35">
      <c r="A30" s="3"/>
      <c r="C30" s="2"/>
      <c r="D30" s="2"/>
      <c r="E30" s="89"/>
      <c r="F30" s="100"/>
      <c r="G30" s="90">
        <f>Tabela_Abril10[[#This Row],[Horário até:]]-Tabela_Abril10[[#This Row],[Horário de:]]</f>
        <v>0</v>
      </c>
      <c r="H30" s="12"/>
      <c r="I30" s="2"/>
      <c r="J30" s="2"/>
    </row>
    <row r="31" spans="1:10" x14ac:dyDescent="0.35">
      <c r="A31" s="3"/>
      <c r="C31" s="2"/>
      <c r="D31" s="2"/>
      <c r="E31" s="89"/>
      <c r="F31" s="100"/>
      <c r="G31" s="90">
        <f>Tabela_Abril10[[#This Row],[Horário até:]]-Tabela_Abril10[[#This Row],[Horário de:]]</f>
        <v>0</v>
      </c>
      <c r="H31" s="12"/>
      <c r="I31" s="2"/>
      <c r="J31" s="2"/>
    </row>
    <row r="32" spans="1:10" x14ac:dyDescent="0.35">
      <c r="A32" s="3"/>
      <c r="C32" s="2"/>
      <c r="D32" s="2"/>
      <c r="E32" s="89"/>
      <c r="F32" s="100"/>
      <c r="G32" s="90">
        <f>Tabela_Abril10[[#This Row],[Horário até:]]-Tabela_Abril10[[#This Row],[Horário de:]]</f>
        <v>0</v>
      </c>
      <c r="H32" s="12"/>
      <c r="I32" s="2"/>
      <c r="J32" s="2"/>
    </row>
    <row r="33" spans="1:10" x14ac:dyDescent="0.35">
      <c r="A33" s="3"/>
      <c r="C33" s="2"/>
      <c r="D33" s="2"/>
      <c r="E33" s="89"/>
      <c r="F33" s="100"/>
      <c r="G33" s="90">
        <f>Tabela_Abril10[[#This Row],[Horário até:]]-Tabela_Abril10[[#This Row],[Horário de:]]</f>
        <v>0</v>
      </c>
      <c r="H33" s="12"/>
      <c r="I33" s="2"/>
      <c r="J33" s="2"/>
    </row>
    <row r="34" spans="1:10" x14ac:dyDescent="0.35">
      <c r="A34" s="3"/>
      <c r="C34" s="2"/>
      <c r="D34" s="2"/>
      <c r="E34" s="89"/>
      <c r="F34" s="100"/>
      <c r="G34" s="90">
        <f>Tabela_Abril10[[#This Row],[Horário até:]]-Tabela_Abril10[[#This Row],[Horário de:]]</f>
        <v>0</v>
      </c>
      <c r="H34" s="12"/>
      <c r="I34" s="2"/>
      <c r="J34" s="2"/>
    </row>
    <row r="35" spans="1:10" x14ac:dyDescent="0.35">
      <c r="A35" s="3"/>
      <c r="C35" s="2"/>
      <c r="D35" s="2"/>
      <c r="E35" s="89"/>
      <c r="F35" s="100"/>
      <c r="G35" s="90">
        <f>Tabela_Abril10[[#This Row],[Horário até:]]-Tabela_Abril10[[#This Row],[Horário de:]]</f>
        <v>0</v>
      </c>
      <c r="H35" s="12"/>
      <c r="I35" s="2"/>
      <c r="J35" s="2"/>
    </row>
    <row r="36" spans="1:10" x14ac:dyDescent="0.35">
      <c r="A36" s="3"/>
      <c r="C36" s="2"/>
      <c r="D36" s="2"/>
      <c r="E36" s="89"/>
      <c r="F36" s="100"/>
      <c r="G36" s="90">
        <f>Tabela_Abril10[[#This Row],[Horário até:]]-Tabela_Abril10[[#This Row],[Horário de:]]</f>
        <v>0</v>
      </c>
      <c r="H36" s="12"/>
      <c r="I36" s="2"/>
      <c r="J36" s="2"/>
    </row>
    <row r="37" spans="1:10" x14ac:dyDescent="0.35">
      <c r="A37" s="3"/>
      <c r="C37" s="2"/>
      <c r="D37" s="2"/>
      <c r="E37" s="89"/>
      <c r="F37" s="100"/>
      <c r="G37" s="90">
        <f>Tabela_Abril10[[#This Row],[Horário até:]]-Tabela_Abril10[[#This Row],[Horário de:]]</f>
        <v>0</v>
      </c>
      <c r="H37" s="2"/>
      <c r="I37" s="2"/>
      <c r="J37" s="2"/>
    </row>
    <row r="38" spans="1:10" x14ac:dyDescent="0.35">
      <c r="A38" s="3"/>
      <c r="C38" s="2"/>
      <c r="D38" s="2"/>
      <c r="E38" s="89"/>
      <c r="F38" s="100"/>
      <c r="G38" s="90">
        <f>Tabela_Abril10[[#This Row],[Horário até:]]-Tabela_Abril10[[#This Row],[Horário de:]]</f>
        <v>0</v>
      </c>
      <c r="H38" s="2"/>
      <c r="I38" s="2"/>
      <c r="J38" s="2"/>
    </row>
    <row r="39" spans="1:10" x14ac:dyDescent="0.35">
      <c r="A39" s="3"/>
      <c r="C39" s="2"/>
      <c r="D39" s="2"/>
      <c r="E39" s="89"/>
      <c r="F39" s="100"/>
      <c r="G39" s="90">
        <f>Tabela_Abril10[[#This Row],[Horário até:]]-Tabela_Abril10[[#This Row],[Horário de:]]</f>
        <v>0</v>
      </c>
      <c r="H39" s="2"/>
      <c r="I39" s="2"/>
      <c r="J39" s="2"/>
    </row>
    <row r="40" spans="1:10" x14ac:dyDescent="0.35">
      <c r="A40" s="3"/>
      <c r="C40" s="2"/>
      <c r="D40" s="2"/>
      <c r="E40" s="89"/>
      <c r="F40" s="100"/>
      <c r="G40" s="90">
        <f>Tabela_Abril10[[#This Row],[Horário até:]]-Tabela_Abril10[[#This Row],[Horário de:]]</f>
        <v>0</v>
      </c>
      <c r="H40" s="2"/>
      <c r="I40" s="2"/>
      <c r="J40" s="2"/>
    </row>
    <row r="41" spans="1:10" x14ac:dyDescent="0.35">
      <c r="A41" s="3"/>
      <c r="C41" s="2"/>
      <c r="D41" s="2"/>
      <c r="E41" s="89"/>
      <c r="F41" s="100"/>
      <c r="G41" s="90">
        <f>Tabela_Abril10[[#This Row],[Horário até:]]-Tabela_Abril10[[#This Row],[Horário de:]]</f>
        <v>0</v>
      </c>
      <c r="H41" s="2"/>
      <c r="I41" s="2"/>
      <c r="J41" s="2"/>
    </row>
    <row r="42" spans="1:10" x14ac:dyDescent="0.35">
      <c r="A42" s="3"/>
      <c r="C42" s="2"/>
      <c r="D42" s="2"/>
      <c r="E42" s="89"/>
      <c r="F42" s="100"/>
      <c r="G42" s="90">
        <f>Tabela_Abril10[[#This Row],[Horário até:]]-Tabela_Abril10[[#This Row],[Horário de:]]</f>
        <v>0</v>
      </c>
      <c r="H42" s="2"/>
      <c r="I42" s="2"/>
      <c r="J42" s="2"/>
    </row>
    <row r="43" spans="1:10" x14ac:dyDescent="0.35">
      <c r="A43" s="3"/>
      <c r="C43" s="2"/>
      <c r="D43" s="2"/>
      <c r="E43" s="89"/>
      <c r="F43" s="100"/>
      <c r="G43" s="90">
        <f>Tabela_Abril10[[#This Row],[Horário até:]]-Tabela_Abril10[[#This Row],[Horário de:]]</f>
        <v>0</v>
      </c>
      <c r="H43" s="2"/>
      <c r="I43" s="2"/>
      <c r="J43" s="2"/>
    </row>
    <row r="44" spans="1:10" x14ac:dyDescent="0.35">
      <c r="A44" s="3"/>
      <c r="C44" s="2"/>
      <c r="D44" s="2"/>
      <c r="E44" s="89"/>
      <c r="F44" s="100"/>
      <c r="G44" s="90">
        <f>Tabela_Abril10[[#This Row],[Horário até:]]-Tabela_Abril10[[#This Row],[Horário de:]]</f>
        <v>0</v>
      </c>
      <c r="H44" s="2"/>
      <c r="I44" s="2"/>
      <c r="J44" s="2"/>
    </row>
    <row r="45" spans="1:10" x14ac:dyDescent="0.35">
      <c r="A45" s="3"/>
      <c r="C45" s="2"/>
      <c r="D45" s="2"/>
      <c r="E45" s="89"/>
      <c r="F45" s="100"/>
      <c r="G45" s="90">
        <f>Tabela_Abril10[[#This Row],[Horário até:]]-Tabela_Abril10[[#This Row],[Horário de:]]</f>
        <v>0</v>
      </c>
      <c r="H45" s="2"/>
      <c r="I45" s="2"/>
      <c r="J45" s="2"/>
    </row>
    <row r="46" spans="1:10" x14ac:dyDescent="0.35">
      <c r="A46" s="3"/>
      <c r="C46" s="2"/>
      <c r="D46" s="2"/>
      <c r="E46" s="89"/>
      <c r="F46" s="100"/>
      <c r="G46" s="90">
        <f>Tabela_Abril10[[#This Row],[Horário até:]]-Tabela_Abril10[[#This Row],[Horário de:]]</f>
        <v>0</v>
      </c>
      <c r="H46" s="2"/>
      <c r="I46" s="2"/>
      <c r="J46" s="2"/>
    </row>
    <row r="47" spans="1:10" x14ac:dyDescent="0.35">
      <c r="A47" s="3"/>
      <c r="C47" s="2"/>
      <c r="D47" s="2"/>
      <c r="E47" s="89"/>
      <c r="F47" s="100"/>
      <c r="G47" s="90">
        <f>Tabela_Abril10[[#This Row],[Horário até:]]-Tabela_Abril10[[#This Row],[Horário de:]]</f>
        <v>0</v>
      </c>
      <c r="I47" s="2"/>
      <c r="J47" s="2"/>
    </row>
    <row r="48" spans="1:10" x14ac:dyDescent="0.35">
      <c r="A48" s="3"/>
      <c r="C48" s="2"/>
      <c r="D48" s="2"/>
      <c r="E48" s="89"/>
      <c r="F48" s="100"/>
      <c r="G48" s="90">
        <f>Tabela_Abril10[[#This Row],[Horário até:]]-Tabela_Abril10[[#This Row],[Horário de:]]</f>
        <v>0</v>
      </c>
      <c r="H48" s="2"/>
      <c r="I48" s="2"/>
      <c r="J48" s="2"/>
    </row>
    <row r="49" spans="1:10" x14ac:dyDescent="0.35">
      <c r="A49" s="3"/>
      <c r="C49" s="2"/>
      <c r="D49" s="2"/>
      <c r="E49" s="89"/>
      <c r="F49" s="100"/>
      <c r="G49" s="90">
        <f>Tabela_Abril10[[#This Row],[Horário até:]]-Tabela_Abril10[[#This Row],[Horário de:]]</f>
        <v>0</v>
      </c>
      <c r="H49" s="2"/>
      <c r="I49" s="2"/>
      <c r="J49" s="2"/>
    </row>
    <row r="50" spans="1:10" x14ac:dyDescent="0.35">
      <c r="A50" s="3"/>
      <c r="C50" s="2"/>
      <c r="D50" s="2"/>
      <c r="E50" s="89"/>
      <c r="F50" s="100"/>
      <c r="G50" s="90">
        <f>Tabela_Abril10[[#This Row],[Horário até:]]-Tabela_Abril10[[#This Row],[Horário de:]]</f>
        <v>0</v>
      </c>
      <c r="H50" s="2"/>
      <c r="I50" s="2"/>
      <c r="J50" s="2"/>
    </row>
    <row r="51" spans="1:10" x14ac:dyDescent="0.35">
      <c r="A51" s="3"/>
      <c r="C51" s="2"/>
      <c r="D51" s="2"/>
      <c r="E51" s="89"/>
      <c r="F51" s="100"/>
      <c r="G51" s="90">
        <f>Tabela_Abril10[[#This Row],[Horário até:]]-Tabela_Abril10[[#This Row],[Horário de:]]</f>
        <v>0</v>
      </c>
      <c r="H51" s="2"/>
      <c r="I51" s="2"/>
      <c r="J51" s="2"/>
    </row>
    <row r="52" spans="1:10" x14ac:dyDescent="0.35">
      <c r="A52" s="3"/>
      <c r="C52" s="2"/>
      <c r="D52" s="2"/>
      <c r="E52" s="89"/>
      <c r="F52" s="100"/>
      <c r="G52" s="90">
        <f>Tabela_Abril10[[#This Row],[Horário até:]]-Tabela_Abril10[[#This Row],[Horário de:]]</f>
        <v>0</v>
      </c>
      <c r="H52" s="2"/>
      <c r="I52" s="2"/>
      <c r="J52" s="2"/>
    </row>
    <row r="53" spans="1:10" x14ac:dyDescent="0.35">
      <c r="A53" s="3"/>
      <c r="C53" s="2"/>
      <c r="D53" s="2"/>
      <c r="E53" s="89"/>
      <c r="F53" s="100"/>
      <c r="G53" s="90">
        <f>Tabela_Abril10[[#This Row],[Horário até:]]-Tabela_Abril10[[#This Row],[Horário de:]]</f>
        <v>0</v>
      </c>
      <c r="H53" s="2"/>
      <c r="I53" s="2"/>
      <c r="J53" s="2"/>
    </row>
    <row r="54" spans="1:10" x14ac:dyDescent="0.35">
      <c r="A54" s="3"/>
      <c r="C54" s="2"/>
      <c r="D54" s="2"/>
      <c r="E54" s="89"/>
      <c r="F54" s="100"/>
      <c r="G54" s="90">
        <f>Tabela_Abril10[[#This Row],[Horário até:]]-Tabela_Abril10[[#This Row],[Horário de:]]</f>
        <v>0</v>
      </c>
      <c r="H54" s="2"/>
      <c r="I54" s="2"/>
      <c r="J54" s="2"/>
    </row>
    <row r="55" spans="1:10" x14ac:dyDescent="0.35">
      <c r="A55" s="3"/>
      <c r="C55" s="2"/>
      <c r="D55" s="2"/>
      <c r="E55" s="89"/>
      <c r="F55" s="100"/>
      <c r="G55" s="90">
        <f>Tabela_Abril10[[#This Row],[Horário até:]]-Tabela_Abril10[[#This Row],[Horário de:]]</f>
        <v>0</v>
      </c>
      <c r="H55" s="2"/>
      <c r="I55" s="2"/>
      <c r="J55" s="2"/>
    </row>
    <row r="56" spans="1:10" x14ac:dyDescent="0.35">
      <c r="A56" s="3"/>
      <c r="C56" s="2"/>
      <c r="D56" s="2"/>
      <c r="E56" s="89"/>
      <c r="F56" s="100"/>
      <c r="G56" s="90">
        <f>Tabela_Abril10[[#This Row],[Horário até:]]-Tabela_Abril10[[#This Row],[Horário de:]]</f>
        <v>0</v>
      </c>
      <c r="H56" s="2"/>
      <c r="I56" s="2"/>
      <c r="J56" s="2"/>
    </row>
    <row r="57" spans="1:10" x14ac:dyDescent="0.35">
      <c r="A57" s="3"/>
      <c r="C57" s="2"/>
      <c r="D57" s="2"/>
      <c r="E57" s="89"/>
      <c r="F57" s="100"/>
      <c r="G57" s="90">
        <f>Tabela_Abril10[[#This Row],[Horário até:]]-Tabela_Abril10[[#This Row],[Horário de:]]</f>
        <v>0</v>
      </c>
      <c r="H57" s="2"/>
      <c r="I57" s="2"/>
      <c r="J57" s="2"/>
    </row>
    <row r="58" spans="1:10" x14ac:dyDescent="0.35">
      <c r="A58" s="3"/>
      <c r="C58" s="2"/>
      <c r="D58" s="2"/>
      <c r="E58" s="89"/>
      <c r="F58" s="100"/>
      <c r="G58" s="90">
        <f>Tabela_Abril10[[#This Row],[Horário até:]]-Tabela_Abril10[[#This Row],[Horário de:]]</f>
        <v>0</v>
      </c>
      <c r="H58" s="2"/>
      <c r="I58" s="2"/>
      <c r="J58" s="2"/>
    </row>
    <row r="59" spans="1:10" x14ac:dyDescent="0.35">
      <c r="A59" s="3"/>
      <c r="C59" s="2"/>
      <c r="D59" s="2"/>
      <c r="E59" s="89"/>
      <c r="F59" s="100"/>
      <c r="G59" s="90">
        <f>Tabela_Abril10[[#This Row],[Horário até:]]-Tabela_Abril10[[#This Row],[Horário de:]]</f>
        <v>0</v>
      </c>
      <c r="H59" s="2"/>
      <c r="I59" s="2"/>
      <c r="J59" s="2"/>
    </row>
    <row r="60" spans="1:10" x14ac:dyDescent="0.35">
      <c r="A60" s="3"/>
      <c r="B60" s="2"/>
      <c r="C60" s="2"/>
      <c r="D60" s="2"/>
      <c r="E60" s="89"/>
      <c r="F60" s="100"/>
      <c r="G60" s="90"/>
      <c r="H60" s="2"/>
      <c r="I60" s="2"/>
      <c r="J60" s="2"/>
    </row>
    <row r="61" spans="1:10" x14ac:dyDescent="0.35">
      <c r="A61" s="2"/>
      <c r="B61" s="2"/>
      <c r="C61" s="2"/>
      <c r="D61" s="2"/>
      <c r="E61" s="91"/>
      <c r="F61" s="101"/>
      <c r="G61" s="92">
        <f>SUM(G4:G59)</f>
        <v>0</v>
      </c>
      <c r="H61" s="2"/>
      <c r="I61" s="2"/>
      <c r="J61" s="2"/>
    </row>
    <row r="62" spans="1:10" ht="20" customHeight="1" x14ac:dyDescent="0.35"/>
    <row r="63" spans="1:10" ht="18.5" x14ac:dyDescent="0.45">
      <c r="A63" s="199" t="s">
        <v>36</v>
      </c>
      <c r="B63" s="200"/>
      <c r="C63" s="200"/>
      <c r="D63" s="200"/>
      <c r="E63" s="200"/>
      <c r="F63" s="200"/>
      <c r="G63" s="200"/>
      <c r="H63" s="200"/>
      <c r="I63" s="200"/>
      <c r="J63" s="200"/>
    </row>
    <row r="64" spans="1:10" x14ac:dyDescent="0.35">
      <c r="A64" s="7"/>
      <c r="B64" s="7"/>
      <c r="C64" s="7"/>
      <c r="D64" s="7"/>
      <c r="H64" s="7"/>
    </row>
    <row r="65" spans="1:8" x14ac:dyDescent="0.35">
      <c r="A65" s="14"/>
      <c r="B65" s="6"/>
      <c r="C65" s="6"/>
      <c r="D65" s="6"/>
      <c r="E65" s="95"/>
      <c r="F65" s="6"/>
      <c r="H65" s="7"/>
    </row>
    <row r="66" spans="1:8" x14ac:dyDescent="0.35">
      <c r="A66" s="14"/>
      <c r="B66" s="6"/>
      <c r="C66" s="6"/>
      <c r="D66" s="6"/>
      <c r="E66" s="95"/>
      <c r="F66" s="6"/>
      <c r="H66" s="7"/>
    </row>
    <row r="67" spans="1:8" x14ac:dyDescent="0.35">
      <c r="A67" s="14" t="s">
        <v>133</v>
      </c>
      <c r="B67" s="6">
        <f>SUM(G4:G59)</f>
        <v>0</v>
      </c>
      <c r="C67" s="6"/>
      <c r="H67" s="7"/>
    </row>
    <row r="68" spans="1:8" x14ac:dyDescent="0.35">
      <c r="A68" s="159" t="s">
        <v>71</v>
      </c>
      <c r="B68" s="6">
        <f>B67/24</f>
        <v>0</v>
      </c>
      <c r="C68" s="6"/>
      <c r="D68" s="6"/>
      <c r="E68" s="95"/>
      <c r="F68" s="6"/>
      <c r="H68" s="7"/>
    </row>
    <row r="69" spans="1:8" x14ac:dyDescent="0.35">
      <c r="A69" s="14"/>
      <c r="B69" s="6"/>
      <c r="C69" s="6"/>
      <c r="D69" s="6"/>
      <c r="E69" s="95"/>
      <c r="F69" s="6"/>
      <c r="H69" s="7"/>
    </row>
    <row r="70" spans="1:8" x14ac:dyDescent="0.35">
      <c r="A70" s="14"/>
      <c r="B70" s="6"/>
      <c r="C70" s="6"/>
      <c r="D70" s="6"/>
      <c r="E70" s="95"/>
      <c r="F70" s="6"/>
      <c r="H70" s="7"/>
    </row>
    <row r="71" spans="1:8" x14ac:dyDescent="0.35">
      <c r="A71" s="14"/>
      <c r="B71" s="6"/>
      <c r="C71" s="6"/>
      <c r="D71" s="6"/>
      <c r="E71" s="95"/>
      <c r="F71" s="6"/>
      <c r="H71" s="7"/>
    </row>
    <row r="72" spans="1:8" x14ac:dyDescent="0.35">
      <c r="A72" s="7"/>
      <c r="B72" s="7"/>
      <c r="C72" s="7"/>
      <c r="D72" s="7"/>
      <c r="H72" s="7"/>
    </row>
    <row r="73" spans="1:8" x14ac:dyDescent="0.35">
      <c r="A73" s="15"/>
      <c r="B73" s="7"/>
      <c r="C73" s="7"/>
      <c r="D73" s="7"/>
      <c r="H73" s="7"/>
    </row>
    <row r="74" spans="1:8" x14ac:dyDescent="0.35">
      <c r="A74" s="7"/>
      <c r="B74" s="7"/>
      <c r="C74" s="7"/>
      <c r="D74" s="7"/>
      <c r="H74" s="7"/>
    </row>
    <row r="75" spans="1:8" x14ac:dyDescent="0.35">
      <c r="A75" s="7"/>
      <c r="B75" s="7"/>
      <c r="C75" s="7"/>
      <c r="D75" s="7"/>
      <c r="H75" s="7"/>
    </row>
    <row r="76" spans="1:8" x14ac:dyDescent="0.35">
      <c r="A76" s="7"/>
      <c r="B76" s="7"/>
      <c r="C76" s="7"/>
      <c r="D76" s="7"/>
      <c r="H76" s="7"/>
    </row>
    <row r="77" spans="1:8" x14ac:dyDescent="0.35">
      <c r="A77" s="7"/>
      <c r="B77" s="7"/>
      <c r="C77" s="7"/>
      <c r="D77" s="7"/>
      <c r="H77" s="7"/>
    </row>
    <row r="78" spans="1:8" x14ac:dyDescent="0.35">
      <c r="A78" s="7"/>
      <c r="B78" s="7"/>
      <c r="C78" s="7"/>
      <c r="D78" s="7"/>
      <c r="H78" s="7"/>
    </row>
    <row r="79" spans="1:8" x14ac:dyDescent="0.35">
      <c r="A79" s="7"/>
      <c r="B79" s="7"/>
      <c r="C79" s="7"/>
      <c r="D79" s="7"/>
      <c r="H79" s="7"/>
    </row>
    <row r="80" spans="1:8" x14ac:dyDescent="0.35">
      <c r="A80" s="7"/>
      <c r="B80" s="7"/>
      <c r="C80" s="7"/>
      <c r="D80" s="7"/>
      <c r="H80" s="7"/>
    </row>
    <row r="81" spans="1:8" x14ac:dyDescent="0.35">
      <c r="A81" s="7"/>
      <c r="B81" s="7"/>
      <c r="C81" s="7"/>
      <c r="D81" s="7"/>
      <c r="H81" s="7"/>
    </row>
  </sheetData>
  <mergeCells count="2">
    <mergeCell ref="A1:J1"/>
    <mergeCell ref="A63:J63"/>
  </mergeCells>
  <phoneticPr fontId="12" type="noConversion"/>
  <conditionalFormatting sqref="G4:G61">
    <cfRule type="expression" dxfId="2" priority="1">
      <formula>G4&gt;4</formula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C96E5-7ABD-4640-B60F-47FFE12C2F14}">
  <dimension ref="A1:BP248"/>
  <sheetViews>
    <sheetView tabSelected="1" topLeftCell="A111" zoomScale="70" zoomScaleNormal="70" workbookViewId="0">
      <selection activeCell="C158" sqref="C158"/>
    </sheetView>
  </sheetViews>
  <sheetFormatPr defaultRowHeight="14.5" x14ac:dyDescent="0.35"/>
  <cols>
    <col min="1" max="1" width="20.90625" customWidth="1"/>
    <col min="2" max="2" width="32.453125" customWidth="1"/>
    <col min="3" max="3" width="8" style="57" customWidth="1"/>
    <col min="4" max="4" width="9.08984375" style="57" customWidth="1"/>
    <col min="5" max="5" width="17.453125" style="108" customWidth="1"/>
    <col min="6" max="6" width="15.26953125" style="108" customWidth="1"/>
    <col min="7" max="7" width="13.7265625" style="108" customWidth="1"/>
    <col min="8" max="8" width="17.26953125" style="57" customWidth="1"/>
    <col min="9" max="9" width="9.453125" style="57" customWidth="1"/>
    <col min="10" max="10" width="10.453125" style="57" customWidth="1"/>
    <col min="11" max="11" width="18.1796875" style="103" customWidth="1"/>
    <col min="12" max="12" width="12.54296875" style="7" customWidth="1"/>
    <col min="13" max="13" width="16.26953125" style="7" customWidth="1"/>
    <col min="14" max="14" width="14.26953125" style="112" customWidth="1"/>
    <col min="15" max="16" width="14.453125" style="16" customWidth="1"/>
    <col min="17" max="17" width="20.1796875" customWidth="1"/>
    <col min="18" max="18" width="20.54296875" customWidth="1"/>
    <col min="19" max="19" width="40.1796875" customWidth="1"/>
  </cols>
  <sheetData>
    <row r="1" spans="1:19" ht="21" x14ac:dyDescent="0.35">
      <c r="A1" s="195" t="s">
        <v>58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50"/>
    </row>
    <row r="3" spans="1:19" ht="29" x14ac:dyDescent="0.35">
      <c r="A3" s="52" t="s">
        <v>0</v>
      </c>
      <c r="B3" s="52" t="s">
        <v>59</v>
      </c>
      <c r="C3" s="53" t="s">
        <v>60</v>
      </c>
      <c r="D3" s="53" t="s">
        <v>87</v>
      </c>
      <c r="E3" s="107" t="s">
        <v>61</v>
      </c>
      <c r="F3" s="107" t="s">
        <v>125</v>
      </c>
      <c r="G3" s="107" t="s">
        <v>126</v>
      </c>
      <c r="H3" s="53" t="s">
        <v>21</v>
      </c>
      <c r="I3" s="53" t="s">
        <v>85</v>
      </c>
      <c r="J3" s="53" t="s">
        <v>86</v>
      </c>
      <c r="K3" s="115" t="s">
        <v>88</v>
      </c>
      <c r="L3" s="54" t="s">
        <v>62</v>
      </c>
      <c r="M3" s="54" t="s">
        <v>63</v>
      </c>
      <c r="N3" s="117" t="s">
        <v>94</v>
      </c>
      <c r="O3" s="117" t="s">
        <v>93</v>
      </c>
      <c r="P3" s="117" t="s">
        <v>121</v>
      </c>
      <c r="Q3" s="52" t="s">
        <v>64</v>
      </c>
      <c r="R3" s="52" t="s">
        <v>65</v>
      </c>
      <c r="S3" s="78" t="s">
        <v>128</v>
      </c>
    </row>
    <row r="4" spans="1:19" x14ac:dyDescent="0.35">
      <c r="A4" s="55">
        <v>46154</v>
      </c>
      <c r="B4" s="56" t="s">
        <v>170</v>
      </c>
      <c r="C4" s="57">
        <v>0</v>
      </c>
      <c r="D4" s="57">
        <v>3</v>
      </c>
      <c r="E4" s="108">
        <f>Tabela_Fevereiro88[[#This Row],[Até:]]-Tabela_Fevereiro88[[#This Row],[De:]]</f>
        <v>3</v>
      </c>
      <c r="H4" s="57" t="s">
        <v>89</v>
      </c>
      <c r="K4" s="103">
        <f>Tabela_Fevereiro88[[#This Row],[Até]]-Tabela_Fevereiro88[[#This Row],[De]]</f>
        <v>0</v>
      </c>
      <c r="L4" s="98">
        <v>0.72916666666666663</v>
      </c>
      <c r="M4" s="98">
        <v>0.75694444444444442</v>
      </c>
      <c r="N4" s="112">
        <f>Tabela_Fevereiro88[[#This Row],[Horário Término]]-Tabela_Fevereiro88[[#This Row],[Horário Inicio]]</f>
        <v>2.777777777777779E-2</v>
      </c>
      <c r="Q4" s="59">
        <v>332</v>
      </c>
      <c r="R4" s="59">
        <v>429</v>
      </c>
    </row>
    <row r="5" spans="1:19" x14ac:dyDescent="0.35">
      <c r="A5" s="55">
        <v>46155</v>
      </c>
      <c r="B5" s="56" t="s">
        <v>170</v>
      </c>
      <c r="C5" s="58">
        <v>3</v>
      </c>
      <c r="D5" s="58">
        <v>5</v>
      </c>
      <c r="E5" s="109">
        <f>Tabela_Fevereiro88[[#This Row],[Até:]]-Tabela_Fevereiro88[[#This Row],[De:]]</f>
        <v>2</v>
      </c>
      <c r="H5" s="57" t="s">
        <v>89</v>
      </c>
      <c r="I5" s="58"/>
      <c r="J5" s="58"/>
      <c r="K5" s="104">
        <f>Tabela_Fevereiro88[[#This Row],[Até]]-Tabela_Fevereiro88[[#This Row],[De]]</f>
        <v>0</v>
      </c>
      <c r="L5" s="99">
        <v>0.40972222222222221</v>
      </c>
      <c r="M5" s="99">
        <v>0.41666666666666669</v>
      </c>
      <c r="N5" s="112">
        <f>Tabela_Fevereiro88[[#This Row],[Horário Término]]-Tabela_Fevereiro88[[#This Row],[Horário Inicio]]</f>
        <v>6.9444444444444753E-3</v>
      </c>
      <c r="O5" s="102"/>
      <c r="P5" s="102"/>
      <c r="Q5" s="2">
        <v>441</v>
      </c>
      <c r="R5" s="2">
        <v>542</v>
      </c>
    </row>
    <row r="6" spans="1:19" x14ac:dyDescent="0.35">
      <c r="A6" s="55"/>
      <c r="B6" s="56" t="s">
        <v>170</v>
      </c>
      <c r="C6" s="60">
        <v>5</v>
      </c>
      <c r="D6" s="60">
        <v>6</v>
      </c>
      <c r="E6" s="110">
        <f>Tabela_Fevereiro88[[#This Row],[Até:]]-Tabela_Fevereiro88[[#This Row],[De:]]</f>
        <v>1</v>
      </c>
      <c r="H6" s="57" t="s">
        <v>89</v>
      </c>
      <c r="I6" s="60"/>
      <c r="J6" s="60"/>
      <c r="K6" s="105">
        <f>Tabela_Fevereiro88[[#This Row],[Até]]-Tabela_Fevereiro88[[#This Row],[De]]</f>
        <v>0</v>
      </c>
      <c r="L6" s="97">
        <v>0.41666666666666669</v>
      </c>
      <c r="M6" s="97">
        <v>0.4236111111111111</v>
      </c>
      <c r="N6" s="113">
        <f>Tabela_Fevereiro88[[#This Row],[Horário Término]]-Tabela_Fevereiro88[[#This Row],[Horário Inicio]]</f>
        <v>6.9444444444444198E-3</v>
      </c>
      <c r="O6" s="90"/>
      <c r="P6" s="90"/>
    </row>
    <row r="7" spans="1:19" x14ac:dyDescent="0.35">
      <c r="A7" s="55"/>
      <c r="B7" s="56" t="s">
        <v>170</v>
      </c>
      <c r="C7" s="60">
        <v>6</v>
      </c>
      <c r="D7" s="60">
        <v>10</v>
      </c>
      <c r="E7" s="110">
        <f>Tabela_Fevereiro88[[#This Row],[Até:]]-Tabela_Fevereiro88[[#This Row],[De:]]</f>
        <v>4</v>
      </c>
      <c r="H7" s="57" t="s">
        <v>89</v>
      </c>
      <c r="I7" s="60"/>
      <c r="J7" s="60"/>
      <c r="K7" s="105">
        <f>Tabela_Fevereiro88[[#This Row],[Até]]-Tabela_Fevereiro88[[#This Row],[De]]</f>
        <v>0</v>
      </c>
      <c r="L7" s="97">
        <v>0.4236111111111111</v>
      </c>
      <c r="M7" s="97">
        <v>0.4375</v>
      </c>
      <c r="N7" s="113">
        <f>Tabela_Fevereiro88[[#This Row],[Horário Término]]-Tabela_Fevereiro88[[#This Row],[Horário Inicio]]</f>
        <v>1.3888888888888895E-2</v>
      </c>
      <c r="O7" s="90"/>
      <c r="P7" s="90"/>
    </row>
    <row r="8" spans="1:19" x14ac:dyDescent="0.35">
      <c r="A8" s="55"/>
      <c r="B8" s="56" t="s">
        <v>170</v>
      </c>
      <c r="C8" s="60">
        <v>10</v>
      </c>
      <c r="D8" s="60">
        <v>11</v>
      </c>
      <c r="E8" s="110">
        <f>Tabela_Fevereiro88[[#This Row],[Até:]]-Tabela_Fevereiro88[[#This Row],[De:]]</f>
        <v>1</v>
      </c>
      <c r="F8" s="110"/>
      <c r="G8" s="110"/>
      <c r="H8" s="57" t="s">
        <v>89</v>
      </c>
      <c r="I8" s="60"/>
      <c r="J8" s="60"/>
      <c r="K8" s="105">
        <f>Tabela_Fevereiro88[[#This Row],[Até]]-Tabela_Fevereiro88[[#This Row],[De]]</f>
        <v>0</v>
      </c>
      <c r="L8" s="97">
        <v>0.4375</v>
      </c>
      <c r="M8" s="97">
        <v>0.44444444444444442</v>
      </c>
      <c r="N8" s="113">
        <f>Tabela_Fevereiro88[[#This Row],[Horário Término]]-Tabela_Fevereiro88[[#This Row],[Horário Inicio]]</f>
        <v>6.9444444444444198E-3</v>
      </c>
      <c r="O8" s="90"/>
      <c r="P8" s="90"/>
    </row>
    <row r="9" spans="1:19" x14ac:dyDescent="0.35">
      <c r="A9" s="55"/>
      <c r="B9" s="56" t="s">
        <v>170</v>
      </c>
      <c r="C9" s="60">
        <v>11</v>
      </c>
      <c r="D9" s="60">
        <v>12</v>
      </c>
      <c r="E9" s="110">
        <f>Tabela_Fevereiro88[[#This Row],[Até:]]-Tabela_Fevereiro88[[#This Row],[De:]]</f>
        <v>1</v>
      </c>
      <c r="F9" s="110"/>
      <c r="G9" s="110"/>
      <c r="H9" s="57" t="s">
        <v>89</v>
      </c>
      <c r="I9" s="60"/>
      <c r="J9" s="60"/>
      <c r="K9" s="105">
        <f>Tabela_Fevereiro88[[#This Row],[Até]]-Tabela_Fevereiro88[[#This Row],[De]]</f>
        <v>0</v>
      </c>
      <c r="L9" s="97">
        <v>0.44444444444444442</v>
      </c>
      <c r="M9" s="97">
        <v>0.4513888888888889</v>
      </c>
      <c r="N9" s="113">
        <f>Tabela_Fevereiro88[[#This Row],[Horário Término]]-Tabela_Fevereiro88[[#This Row],[Horário Inicio]]</f>
        <v>6.9444444444444753E-3</v>
      </c>
      <c r="O9" s="90"/>
      <c r="P9" s="90"/>
    </row>
    <row r="10" spans="1:19" x14ac:dyDescent="0.35">
      <c r="A10" s="55"/>
      <c r="B10" s="56" t="s">
        <v>170</v>
      </c>
      <c r="C10" s="60">
        <v>12</v>
      </c>
      <c r="D10" s="60">
        <v>13</v>
      </c>
      <c r="E10" s="110">
        <f>Tabela_Fevereiro88[[#This Row],[Até:]]-Tabela_Fevereiro88[[#This Row],[De:]]</f>
        <v>1</v>
      </c>
      <c r="F10" s="110"/>
      <c r="G10" s="110"/>
      <c r="H10" s="57" t="s">
        <v>89</v>
      </c>
      <c r="I10" s="60"/>
      <c r="J10" s="60"/>
      <c r="K10" s="105">
        <f>Tabela_Fevereiro88[[#This Row],[Até]]-Tabela_Fevereiro88[[#This Row],[De]]</f>
        <v>0</v>
      </c>
      <c r="L10" s="97">
        <v>0.4513888888888889</v>
      </c>
      <c r="M10" s="97">
        <v>0.45833333333333331</v>
      </c>
      <c r="N10" s="113">
        <f>Tabela_Fevereiro88[[#This Row],[Horário Término]]-Tabela_Fevereiro88[[#This Row],[Horário Inicio]]</f>
        <v>6.9444444444444198E-3</v>
      </c>
      <c r="O10" s="90"/>
      <c r="P10" s="90"/>
      <c r="S10" s="17"/>
    </row>
    <row r="11" spans="1:19" x14ac:dyDescent="0.35">
      <c r="A11" s="55"/>
      <c r="B11" s="56" t="s">
        <v>170</v>
      </c>
      <c r="C11" s="60">
        <v>13</v>
      </c>
      <c r="D11" s="60">
        <v>17</v>
      </c>
      <c r="E11" s="110">
        <f>Tabela_Fevereiro88[[#This Row],[Até:]]-Tabela_Fevereiro88[[#This Row],[De:]]</f>
        <v>4</v>
      </c>
      <c r="F11" s="110"/>
      <c r="G11" s="110"/>
      <c r="H11" s="57" t="s">
        <v>89</v>
      </c>
      <c r="I11" s="60"/>
      <c r="J11" s="60"/>
      <c r="K11" s="105">
        <f>Tabela_Fevereiro88[[#This Row],[Até]]-Tabela_Fevereiro88[[#This Row],[De]]</f>
        <v>0</v>
      </c>
      <c r="L11" s="97">
        <v>0.53472222222222221</v>
      </c>
      <c r="M11" s="97">
        <v>0.56944444444444442</v>
      </c>
      <c r="N11" s="113">
        <f>Tabela_Fevereiro88[[#This Row],[Horário Término]]-Tabela_Fevereiro88[[#This Row],[Horário Inicio]]</f>
        <v>3.472222222222221E-2</v>
      </c>
      <c r="O11" s="90"/>
      <c r="P11" s="90"/>
    </row>
    <row r="12" spans="1:19" x14ac:dyDescent="0.35">
      <c r="A12" s="55"/>
      <c r="B12" s="56" t="s">
        <v>170</v>
      </c>
      <c r="C12" s="60">
        <v>17</v>
      </c>
      <c r="D12" s="60">
        <v>18</v>
      </c>
      <c r="E12" s="110">
        <f>Tabela_Fevereiro88[[#This Row],[Até:]]-Tabela_Fevereiro88[[#This Row],[De:]]</f>
        <v>1</v>
      </c>
      <c r="F12" s="110"/>
      <c r="G12" s="110"/>
      <c r="H12" s="57" t="s">
        <v>89</v>
      </c>
      <c r="I12" s="60"/>
      <c r="J12" s="60"/>
      <c r="K12" s="105">
        <f>Tabela_Fevereiro88[[#This Row],[Até]]-Tabela_Fevereiro88[[#This Row],[De]]</f>
        <v>0</v>
      </c>
      <c r="L12" s="97">
        <v>0.56944444444444442</v>
      </c>
      <c r="M12" s="97">
        <v>0.58333333333333337</v>
      </c>
      <c r="N12" s="113">
        <f>Tabela_Fevereiro88[[#This Row],[Horário Término]]-Tabela_Fevereiro88[[#This Row],[Horário Inicio]]</f>
        <v>1.3888888888888951E-2</v>
      </c>
      <c r="O12" s="90"/>
      <c r="P12" s="90"/>
    </row>
    <row r="13" spans="1:19" x14ac:dyDescent="0.35">
      <c r="A13" s="55"/>
      <c r="B13" s="56" t="s">
        <v>170</v>
      </c>
      <c r="C13" s="60">
        <v>18</v>
      </c>
      <c r="D13" s="60">
        <v>21</v>
      </c>
      <c r="E13" s="110">
        <f>Tabela_Fevereiro88[[#This Row],[Até:]]-Tabela_Fevereiro88[[#This Row],[De:]]</f>
        <v>3</v>
      </c>
      <c r="F13" s="110"/>
      <c r="G13" s="110"/>
      <c r="H13" s="57" t="s">
        <v>89</v>
      </c>
      <c r="I13" s="60"/>
      <c r="J13" s="60"/>
      <c r="K13" s="105">
        <f>Tabela_Fevereiro88[[#This Row],[Até]]-Tabela_Fevereiro88[[#This Row],[De]]</f>
        <v>0</v>
      </c>
      <c r="L13" s="97">
        <v>0.58333333333333337</v>
      </c>
      <c r="M13" s="97">
        <v>0.59375</v>
      </c>
      <c r="N13" s="113">
        <f>Tabela_Fevereiro88[[#This Row],[Horário Término]]-Tabela_Fevereiro88[[#This Row],[Horário Inicio]]</f>
        <v>1.041666666666663E-2</v>
      </c>
      <c r="O13" s="90"/>
      <c r="P13" s="90"/>
      <c r="S13" s="136"/>
    </row>
    <row r="14" spans="1:19" x14ac:dyDescent="0.35">
      <c r="A14" s="3"/>
      <c r="B14" s="56" t="s">
        <v>170</v>
      </c>
      <c r="C14" s="60">
        <v>21</v>
      </c>
      <c r="D14" s="60">
        <v>22</v>
      </c>
      <c r="E14" s="110">
        <f>Tabela_Fevereiro88[[#This Row],[Até:]]-Tabela_Fevereiro88[[#This Row],[De:]]</f>
        <v>1</v>
      </c>
      <c r="F14" s="110"/>
      <c r="G14" s="110"/>
      <c r="H14" s="57" t="s">
        <v>89</v>
      </c>
      <c r="I14" s="60"/>
      <c r="J14" s="60"/>
      <c r="K14" s="105">
        <f>Tabela_Fevereiro88[[#This Row],[Até]]-Tabela_Fevereiro88[[#This Row],[De]]</f>
        <v>0</v>
      </c>
      <c r="L14" s="97">
        <v>0.59375</v>
      </c>
      <c r="M14" s="97">
        <v>0.60416666666666663</v>
      </c>
      <c r="N14" s="113">
        <f>Tabela_Fevereiro88[[#This Row],[Horário Término]]-Tabela_Fevereiro88[[#This Row],[Horário Inicio]]</f>
        <v>1.041666666666663E-2</v>
      </c>
      <c r="O14" s="90"/>
      <c r="P14" s="90"/>
    </row>
    <row r="15" spans="1:19" x14ac:dyDescent="0.35">
      <c r="A15" s="3"/>
      <c r="B15" s="56" t="s">
        <v>170</v>
      </c>
      <c r="C15" s="60">
        <v>22</v>
      </c>
      <c r="D15" s="60">
        <v>23</v>
      </c>
      <c r="E15" s="110">
        <f>Tabela_Fevereiro88[[#This Row],[Até:]]-Tabela_Fevereiro88[[#This Row],[De:]]</f>
        <v>1</v>
      </c>
      <c r="F15" s="110"/>
      <c r="G15" s="110"/>
      <c r="H15" s="57" t="s">
        <v>89</v>
      </c>
      <c r="I15" s="60"/>
      <c r="J15" s="60"/>
      <c r="K15" s="105">
        <f>Tabela_Fevereiro88[[#This Row],[Até]]-Tabela_Fevereiro88[[#This Row],[De]]</f>
        <v>0</v>
      </c>
      <c r="L15" s="97">
        <v>0.65277777777777779</v>
      </c>
      <c r="M15" s="97">
        <v>0.65972222222222221</v>
      </c>
      <c r="N15" s="113">
        <f>Tabela_Fevereiro88[[#This Row],[Horário Término]]-Tabela_Fevereiro88[[#This Row],[Horário Inicio]]</f>
        <v>6.9444444444444198E-3</v>
      </c>
      <c r="O15" s="90"/>
      <c r="P15" s="90"/>
    </row>
    <row r="16" spans="1:19" x14ac:dyDescent="0.35">
      <c r="A16" s="3"/>
      <c r="B16" s="56" t="s">
        <v>170</v>
      </c>
      <c r="C16" s="60">
        <v>23</v>
      </c>
      <c r="D16" s="60">
        <v>25</v>
      </c>
      <c r="E16" s="110">
        <f>Tabela_Fevereiro88[[#This Row],[Até:]]-Tabela_Fevereiro88[[#This Row],[De:]]</f>
        <v>2</v>
      </c>
      <c r="F16" s="110"/>
      <c r="G16" s="110"/>
      <c r="H16" s="57" t="s">
        <v>89</v>
      </c>
      <c r="I16" s="60"/>
      <c r="J16" s="60"/>
      <c r="K16" s="105">
        <f>Tabela_Fevereiro88[[#This Row],[Até]]-Tabela_Fevereiro88[[#This Row],[De]]</f>
        <v>0</v>
      </c>
      <c r="L16" s="97">
        <v>0.67361111111111116</v>
      </c>
      <c r="M16" s="97">
        <v>0.69097222222222221</v>
      </c>
      <c r="N16" s="113">
        <f>Tabela_Fevereiro88[[#This Row],[Horário Término]]-Tabela_Fevereiro88[[#This Row],[Horário Inicio]]</f>
        <v>1.7361111111111049E-2</v>
      </c>
      <c r="O16" s="90"/>
      <c r="P16" s="90"/>
    </row>
    <row r="17" spans="1:19" x14ac:dyDescent="0.35">
      <c r="A17" s="3"/>
      <c r="B17" s="56" t="s">
        <v>170</v>
      </c>
      <c r="C17" s="60">
        <v>25</v>
      </c>
      <c r="D17" s="60">
        <v>26</v>
      </c>
      <c r="E17" s="110">
        <f>Tabela_Fevereiro88[[#This Row],[Até:]]-Tabela_Fevereiro88[[#This Row],[De:]]</f>
        <v>1</v>
      </c>
      <c r="F17" s="110"/>
      <c r="G17" s="110"/>
      <c r="H17" s="57" t="s">
        <v>89</v>
      </c>
      <c r="I17" s="60"/>
      <c r="J17" s="60"/>
      <c r="K17" s="105">
        <f>Tabela_Fevereiro88[[#This Row],[Até]]-Tabela_Fevereiro88[[#This Row],[De]]</f>
        <v>0</v>
      </c>
      <c r="L17" s="97">
        <v>0.69097222222222221</v>
      </c>
      <c r="M17" s="97">
        <v>0.69444444444444442</v>
      </c>
      <c r="N17" s="113">
        <f>Tabela_Fevereiro88[[#This Row],[Horário Término]]-Tabela_Fevereiro88[[#This Row],[Horário Inicio]]</f>
        <v>3.4722222222222099E-3</v>
      </c>
      <c r="O17" s="90"/>
      <c r="P17" s="90"/>
    </row>
    <row r="18" spans="1:19" x14ac:dyDescent="0.35">
      <c r="A18" s="3"/>
      <c r="B18" s="56" t="s">
        <v>170</v>
      </c>
      <c r="C18" s="60">
        <v>26</v>
      </c>
      <c r="D18" s="60">
        <v>27</v>
      </c>
      <c r="E18" s="110">
        <f>Tabela_Fevereiro88[[#This Row],[Até:]]-Tabela_Fevereiro88[[#This Row],[De:]]</f>
        <v>1</v>
      </c>
      <c r="F18" s="110"/>
      <c r="G18" s="110"/>
      <c r="H18" s="57" t="s">
        <v>89</v>
      </c>
      <c r="I18" s="60"/>
      <c r="J18" s="60"/>
      <c r="K18" s="105">
        <f>Tabela_Fevereiro88[[#This Row],[Até]]-Tabela_Fevereiro88[[#This Row],[De]]</f>
        <v>0</v>
      </c>
      <c r="L18" s="97">
        <v>0.69444444444444442</v>
      </c>
      <c r="M18" s="97">
        <v>0.70833333333333337</v>
      </c>
      <c r="N18" s="113">
        <f>Tabela_Fevereiro88[[#This Row],[Horário Término]]-Tabela_Fevereiro88[[#This Row],[Horário Inicio]]</f>
        <v>1.3888888888888951E-2</v>
      </c>
      <c r="O18" s="90"/>
      <c r="P18" s="90"/>
      <c r="Q18" s="2"/>
      <c r="R18" s="2"/>
    </row>
    <row r="19" spans="1:19" x14ac:dyDescent="0.35">
      <c r="A19" s="3"/>
      <c r="B19" s="56" t="s">
        <v>170</v>
      </c>
      <c r="C19" s="60">
        <v>27</v>
      </c>
      <c r="D19" s="60">
        <v>31.8</v>
      </c>
      <c r="E19" s="110">
        <f>Tabela_Fevereiro88[[#This Row],[Até:]]-Tabela_Fevereiro88[[#This Row],[De:]]</f>
        <v>4.8000000000000007</v>
      </c>
      <c r="F19" s="110"/>
      <c r="G19" s="110"/>
      <c r="H19" s="57" t="s">
        <v>89</v>
      </c>
      <c r="I19" s="60"/>
      <c r="J19" s="60"/>
      <c r="K19" s="105">
        <f>Tabela_Fevereiro88[[#This Row],[Até]]-Tabela_Fevereiro88[[#This Row],[De]]</f>
        <v>0</v>
      </c>
      <c r="L19" s="97">
        <v>0.70833333333333337</v>
      </c>
      <c r="M19" s="97">
        <v>0.75</v>
      </c>
      <c r="N19" s="113">
        <f>Tabela_Fevereiro88[[#This Row],[Horário Término]]-Tabela_Fevereiro88[[#This Row],[Horário Inicio]]</f>
        <v>4.166666666666663E-2</v>
      </c>
      <c r="O19" s="90"/>
      <c r="P19" s="90"/>
      <c r="Q19" s="2"/>
      <c r="R19" s="2"/>
    </row>
    <row r="20" spans="1:19" s="185" customFormat="1" x14ac:dyDescent="0.35">
      <c r="A20" s="177">
        <v>46156</v>
      </c>
      <c r="B20" s="178" t="s">
        <v>170</v>
      </c>
      <c r="C20" s="179">
        <v>31.8</v>
      </c>
      <c r="D20" s="179">
        <v>40.200000000000003</v>
      </c>
      <c r="E20" s="180">
        <f>Tabela_Fevereiro88[[#This Row],[Até:]]-Tabela_Fevereiro88[[#This Row],[De:]]</f>
        <v>8.4000000000000021</v>
      </c>
      <c r="F20" s="180"/>
      <c r="G20" s="180"/>
      <c r="H20" s="57" t="s">
        <v>89</v>
      </c>
      <c r="I20" s="179"/>
      <c r="J20" s="179"/>
      <c r="K20" s="181">
        <f>Tabela_Fevereiro88[[#This Row],[Até]]-Tabela_Fevereiro88[[#This Row],[De]]</f>
        <v>0</v>
      </c>
      <c r="L20" s="182">
        <v>0.33333333333333331</v>
      </c>
      <c r="M20" s="182">
        <v>0.40277777777777779</v>
      </c>
      <c r="N20" s="183">
        <f>Tabela_Fevereiro88[[#This Row],[Horário Término]]-Tabela_Fevereiro88[[#This Row],[Horário Inicio]]</f>
        <v>6.9444444444444475E-2</v>
      </c>
      <c r="O20" s="184"/>
      <c r="P20" s="184"/>
      <c r="Q20" s="176">
        <v>491</v>
      </c>
      <c r="R20" s="176">
        <v>148</v>
      </c>
      <c r="S20" s="185" t="s">
        <v>186</v>
      </c>
    </row>
    <row r="21" spans="1:19" x14ac:dyDescent="0.35">
      <c r="A21" s="3"/>
      <c r="B21" s="56" t="s">
        <v>170</v>
      </c>
      <c r="C21" s="60">
        <v>40.200000000000003</v>
      </c>
      <c r="D21" s="60">
        <v>41.2</v>
      </c>
      <c r="E21" s="110">
        <f>Tabela_Fevereiro88[[#This Row],[Até:]]-Tabela_Fevereiro88[[#This Row],[De:]]</f>
        <v>1</v>
      </c>
      <c r="F21" s="110"/>
      <c r="G21" s="110"/>
      <c r="H21" s="57" t="s">
        <v>89</v>
      </c>
      <c r="I21" s="60"/>
      <c r="J21" s="60"/>
      <c r="K21" s="105">
        <f>Tabela_Fevereiro88[[#This Row],[Até]]-Tabela_Fevereiro88[[#This Row],[De]]</f>
        <v>0</v>
      </c>
      <c r="L21" s="97">
        <v>0.43055555555555558</v>
      </c>
      <c r="M21" s="97">
        <v>0.4375</v>
      </c>
      <c r="N21" s="113">
        <f>Tabela_Fevereiro88[[#This Row],[Horário Término]]-Tabela_Fevereiro88[[#This Row],[Horário Inicio]]</f>
        <v>6.9444444444444198E-3</v>
      </c>
      <c r="O21" s="90"/>
      <c r="P21" s="90"/>
    </row>
    <row r="22" spans="1:19" x14ac:dyDescent="0.35">
      <c r="A22" s="3"/>
      <c r="B22" s="56" t="s">
        <v>170</v>
      </c>
      <c r="C22" s="60">
        <v>41.2</v>
      </c>
      <c r="D22" s="60">
        <v>44</v>
      </c>
      <c r="E22" s="110">
        <f>Tabela_Fevereiro88[[#This Row],[Até:]]-Tabela_Fevereiro88[[#This Row],[De:]]</f>
        <v>2.7999999999999972</v>
      </c>
      <c r="F22" s="110"/>
      <c r="G22" s="110"/>
      <c r="H22" s="57" t="s">
        <v>89</v>
      </c>
      <c r="I22" s="60"/>
      <c r="J22" s="60"/>
      <c r="K22" s="105">
        <f>Tabela_Fevereiro88[[#This Row],[Até]]-Tabela_Fevereiro88[[#This Row],[De]]</f>
        <v>0</v>
      </c>
      <c r="L22" s="97">
        <v>0.46527777777777779</v>
      </c>
      <c r="M22" s="97">
        <v>0.4861111111111111</v>
      </c>
      <c r="N22" s="113">
        <f>Tabela_Fevereiro88[[#This Row],[Horário Término]]-Tabela_Fevereiro88[[#This Row],[Horário Inicio]]</f>
        <v>2.0833333333333315E-2</v>
      </c>
      <c r="O22" s="90"/>
      <c r="P22" s="90"/>
    </row>
    <row r="23" spans="1:19" x14ac:dyDescent="0.35">
      <c r="A23" s="3"/>
      <c r="B23" s="56" t="s">
        <v>170</v>
      </c>
      <c r="C23" s="60">
        <v>44</v>
      </c>
      <c r="D23" s="60">
        <v>45</v>
      </c>
      <c r="E23" s="110">
        <f>Tabela_Fevereiro88[[#This Row],[Até:]]-Tabela_Fevereiro88[[#This Row],[De:]]</f>
        <v>1</v>
      </c>
      <c r="F23" s="110"/>
      <c r="G23" s="110"/>
      <c r="H23" s="57" t="s">
        <v>89</v>
      </c>
      <c r="I23" s="60"/>
      <c r="J23" s="60"/>
      <c r="K23" s="105">
        <f>Tabela_Fevereiro88[[#This Row],[Até]]-Tabela_Fevereiro88[[#This Row],[De]]</f>
        <v>0</v>
      </c>
      <c r="L23" s="97">
        <v>0.4861111111111111</v>
      </c>
      <c r="M23" s="97">
        <v>0.50347222222222221</v>
      </c>
      <c r="N23" s="113">
        <f>Tabela_Fevereiro88[[#This Row],[Horário Término]]-Tabela_Fevereiro88[[#This Row],[Horário Inicio]]</f>
        <v>1.7361111111111105E-2</v>
      </c>
      <c r="O23" s="90"/>
      <c r="P23" s="90"/>
    </row>
    <row r="24" spans="1:19" x14ac:dyDescent="0.35">
      <c r="A24" s="3"/>
      <c r="B24" s="56" t="s">
        <v>170</v>
      </c>
      <c r="C24" s="60">
        <v>45</v>
      </c>
      <c r="D24" s="60">
        <v>49</v>
      </c>
      <c r="E24" s="110">
        <f>Tabela_Fevereiro88[[#This Row],[Até:]]-Tabela_Fevereiro88[[#This Row],[De:]]</f>
        <v>4</v>
      </c>
      <c r="F24" s="110"/>
      <c r="G24" s="110"/>
      <c r="H24" s="57" t="s">
        <v>89</v>
      </c>
      <c r="I24" s="60"/>
      <c r="J24" s="60"/>
      <c r="K24" s="105">
        <f>Tabela_Fevereiro88[[#This Row],[Até]]-Tabela_Fevereiro88[[#This Row],[De]]</f>
        <v>0</v>
      </c>
      <c r="L24" s="97">
        <v>0.50347222222222221</v>
      </c>
      <c r="M24" s="97">
        <v>0.54166666666666663</v>
      </c>
      <c r="N24" s="113">
        <f>Tabela_Fevereiro88[[#This Row],[Horário Término]]-Tabela_Fevereiro88[[#This Row],[Horário Inicio]]</f>
        <v>3.819444444444442E-2</v>
      </c>
      <c r="O24" s="90"/>
      <c r="P24" s="90"/>
      <c r="S24" s="136"/>
    </row>
    <row r="25" spans="1:19" x14ac:dyDescent="0.35">
      <c r="A25" s="3"/>
      <c r="B25" s="56" t="s">
        <v>170</v>
      </c>
      <c r="C25" s="60">
        <v>49</v>
      </c>
      <c r="D25" s="60">
        <v>51.31</v>
      </c>
      <c r="E25" s="110">
        <f>Tabela_Fevereiro88[[#This Row],[Até:]]-Tabela_Fevereiro88[[#This Row],[De:]]</f>
        <v>2.3100000000000023</v>
      </c>
      <c r="F25" s="110"/>
      <c r="G25" s="110"/>
      <c r="H25" s="57" t="s">
        <v>89</v>
      </c>
      <c r="I25" s="60"/>
      <c r="J25" s="60"/>
      <c r="K25" s="105">
        <f>Tabela_Fevereiro88[[#This Row],[Até]]-Tabela_Fevereiro88[[#This Row],[De]]</f>
        <v>0</v>
      </c>
      <c r="L25" s="97">
        <v>0.54166666666666663</v>
      </c>
      <c r="M25" s="97">
        <v>0.56944444444444442</v>
      </c>
      <c r="N25" s="113">
        <f>Tabela_Fevereiro88[[#This Row],[Horário Término]]-Tabela_Fevereiro88[[#This Row],[Horário Inicio]]</f>
        <v>2.777777777777779E-2</v>
      </c>
      <c r="O25" s="90"/>
      <c r="P25" s="90"/>
    </row>
    <row r="26" spans="1:19" x14ac:dyDescent="0.35">
      <c r="A26" s="3"/>
      <c r="B26" s="56" t="s">
        <v>170</v>
      </c>
      <c r="C26" s="60">
        <v>51.31</v>
      </c>
      <c r="D26" s="60">
        <v>59</v>
      </c>
      <c r="E26" s="110">
        <f>Tabela_Fevereiro88[[#This Row],[Até:]]-Tabela_Fevereiro88[[#This Row],[De:]]</f>
        <v>7.6899999999999977</v>
      </c>
      <c r="F26" s="110"/>
      <c r="G26" s="110"/>
      <c r="H26" s="57" t="s">
        <v>89</v>
      </c>
      <c r="I26" s="60"/>
      <c r="J26" s="60"/>
      <c r="K26" s="105">
        <f>Tabela_Fevereiro88[[#This Row],[Até]]-Tabela_Fevereiro88[[#This Row],[De]]</f>
        <v>0</v>
      </c>
      <c r="L26" s="97">
        <v>0.59722222222222221</v>
      </c>
      <c r="M26" s="97">
        <v>0.67361111111111116</v>
      </c>
      <c r="N26" s="113">
        <f>Tabela_Fevereiro88[[#This Row],[Horário Término]]-Tabela_Fevereiro88[[#This Row],[Horário Inicio]]</f>
        <v>7.6388888888888951E-2</v>
      </c>
      <c r="O26" s="90"/>
      <c r="P26" s="90"/>
      <c r="S26" s="136"/>
    </row>
    <row r="27" spans="1:19" x14ac:dyDescent="0.35">
      <c r="A27" s="3"/>
      <c r="B27" s="56" t="s">
        <v>170</v>
      </c>
      <c r="C27" s="60">
        <v>59</v>
      </c>
      <c r="D27" s="60">
        <v>60</v>
      </c>
      <c r="E27" s="110">
        <f>Tabela_Fevereiro88[[#This Row],[Até:]]-Tabela_Fevereiro88[[#This Row],[De:]]</f>
        <v>1</v>
      </c>
      <c r="F27" s="110"/>
      <c r="G27" s="110"/>
      <c r="H27" s="57" t="s">
        <v>89</v>
      </c>
      <c r="I27" s="60"/>
      <c r="J27" s="60"/>
      <c r="K27" s="105">
        <f>Tabela_Fevereiro88[[#This Row],[Até]]-Tabela_Fevereiro88[[#This Row],[De]]</f>
        <v>0</v>
      </c>
      <c r="L27" s="97">
        <v>0.67361111111111116</v>
      </c>
      <c r="M27" s="97">
        <v>0.67708333333333337</v>
      </c>
      <c r="N27" s="113">
        <f>Tabela_Fevereiro88[[#This Row],[Horário Término]]-Tabela_Fevereiro88[[#This Row],[Horário Inicio]]</f>
        <v>3.4722222222222099E-3</v>
      </c>
      <c r="O27" s="90"/>
      <c r="P27" s="90"/>
    </row>
    <row r="28" spans="1:19" x14ac:dyDescent="0.35">
      <c r="A28" s="3"/>
      <c r="B28" s="56" t="s">
        <v>170</v>
      </c>
      <c r="C28" s="60">
        <v>60</v>
      </c>
      <c r="D28" s="60">
        <v>60.8</v>
      </c>
      <c r="E28" s="110">
        <f>Tabela_Fevereiro88[[#This Row],[Até:]]-Tabela_Fevereiro88[[#This Row],[De:]]</f>
        <v>0.79999999999999716</v>
      </c>
      <c r="F28" s="110"/>
      <c r="G28" s="110"/>
      <c r="H28" s="57" t="s">
        <v>89</v>
      </c>
      <c r="I28" s="60"/>
      <c r="J28" s="60"/>
      <c r="K28" s="105">
        <f>Tabela_Fevereiro88[[#This Row],[Até]]-Tabela_Fevereiro88[[#This Row],[De]]</f>
        <v>0</v>
      </c>
      <c r="L28" s="97">
        <v>0.67708333333333337</v>
      </c>
      <c r="M28" s="97">
        <v>0.68055555555555558</v>
      </c>
      <c r="N28" s="113">
        <f>Tabela_Fevereiro88[[#This Row],[Horário Término]]-Tabela_Fevereiro88[[#This Row],[Horário Inicio]]</f>
        <v>3.4722222222222099E-3</v>
      </c>
      <c r="O28" s="90"/>
      <c r="P28" s="90"/>
      <c r="S28" s="96"/>
    </row>
    <row r="29" spans="1:19" x14ac:dyDescent="0.35">
      <c r="A29" s="3"/>
      <c r="B29" s="56" t="s">
        <v>170</v>
      </c>
      <c r="C29" s="60">
        <v>60.8</v>
      </c>
      <c r="D29" s="60">
        <v>64</v>
      </c>
      <c r="E29" s="110">
        <f>Tabela_Fevereiro88[[#This Row],[Até:]]-Tabela_Fevereiro88[[#This Row],[De:]]</f>
        <v>3.2000000000000028</v>
      </c>
      <c r="F29" s="110"/>
      <c r="G29" s="110"/>
      <c r="H29" s="57" t="s">
        <v>89</v>
      </c>
      <c r="I29" s="60"/>
      <c r="J29" s="60"/>
      <c r="K29" s="105">
        <f>Tabela_Fevereiro88[[#This Row],[Até]]-Tabela_Fevereiro88[[#This Row],[De]]</f>
        <v>0</v>
      </c>
      <c r="L29" s="97">
        <v>0.70138888888888884</v>
      </c>
      <c r="M29" s="97">
        <v>0.73263888888888884</v>
      </c>
      <c r="N29" s="113">
        <f>Tabela_Fevereiro88[[#This Row],[Horário Término]]-Tabela_Fevereiro88[[#This Row],[Horário Inicio]]</f>
        <v>3.125E-2</v>
      </c>
      <c r="O29" s="90"/>
      <c r="P29" s="90"/>
    </row>
    <row r="30" spans="1:19" ht="14" customHeight="1" x14ac:dyDescent="0.35">
      <c r="A30" s="3">
        <v>46157</v>
      </c>
      <c r="B30" s="56" t="s">
        <v>170</v>
      </c>
      <c r="C30" s="60">
        <v>64</v>
      </c>
      <c r="D30" s="60">
        <v>70</v>
      </c>
      <c r="E30" s="110">
        <f>Tabela_Fevereiro88[[#This Row],[Até:]]-Tabela_Fevereiro88[[#This Row],[De:]]</f>
        <v>6</v>
      </c>
      <c r="F30" s="110"/>
      <c r="G30" s="110"/>
      <c r="H30" s="57" t="s">
        <v>89</v>
      </c>
      <c r="I30" s="60"/>
      <c r="J30" s="60"/>
      <c r="K30" s="105">
        <f>Tabela_Fevereiro88[[#This Row],[Até]]-Tabela_Fevereiro88[[#This Row],[De]]</f>
        <v>0</v>
      </c>
      <c r="L30" s="97">
        <v>0.31597222222222221</v>
      </c>
      <c r="M30" s="97">
        <v>0.3611111111111111</v>
      </c>
      <c r="N30" s="113">
        <f>Tabela_Fevereiro88[[#This Row],[Horário Término]]-Tabela_Fevereiro88[[#This Row],[Horário Inicio]]</f>
        <v>4.5138888888888895E-2</v>
      </c>
      <c r="O30" s="90"/>
      <c r="P30" s="90"/>
      <c r="Q30" s="2">
        <v>774</v>
      </c>
      <c r="R30" s="2">
        <v>1168</v>
      </c>
    </row>
    <row r="31" spans="1:19" ht="14" customHeight="1" x14ac:dyDescent="0.35">
      <c r="A31" s="3"/>
      <c r="B31" s="56" t="s">
        <v>170</v>
      </c>
      <c r="C31" s="60">
        <v>70</v>
      </c>
      <c r="D31" s="60">
        <v>70.209999999999994</v>
      </c>
      <c r="E31" s="110">
        <f>Tabela_Fevereiro88[[#This Row],[Até:]]-Tabela_Fevereiro88[[#This Row],[De:]]</f>
        <v>0.20999999999999375</v>
      </c>
      <c r="F31" s="110"/>
      <c r="G31" s="110"/>
      <c r="H31" s="57" t="s">
        <v>89</v>
      </c>
      <c r="I31" s="60"/>
      <c r="J31" s="60"/>
      <c r="K31" s="105">
        <f>Tabela_Fevereiro88[[#This Row],[Até]]-Tabela_Fevereiro88[[#This Row],[De]]</f>
        <v>0</v>
      </c>
      <c r="L31" s="97">
        <v>0.3611111111111111</v>
      </c>
      <c r="M31" s="97">
        <v>0.36458333333333331</v>
      </c>
      <c r="N31" s="113">
        <f>Tabela_Fevereiro88[[#This Row],[Horário Término]]-Tabela_Fevereiro88[[#This Row],[Horário Inicio]]</f>
        <v>3.4722222222222099E-3</v>
      </c>
      <c r="O31" s="90"/>
      <c r="P31" s="90"/>
      <c r="Q31" s="2"/>
      <c r="R31" s="2"/>
    </row>
    <row r="32" spans="1:19" ht="14" customHeight="1" x14ac:dyDescent="0.35">
      <c r="A32" s="3"/>
      <c r="B32" s="56" t="s">
        <v>170</v>
      </c>
      <c r="C32" s="60">
        <v>70.209999999999994</v>
      </c>
      <c r="D32" s="60">
        <v>79.81</v>
      </c>
      <c r="E32" s="110">
        <f>Tabela_Fevereiro88[[#This Row],[Até:]]-Tabela_Fevereiro88[[#This Row],[De:]]</f>
        <v>9.6000000000000085</v>
      </c>
      <c r="F32" s="110"/>
      <c r="G32" s="110"/>
      <c r="H32" s="57" t="s">
        <v>89</v>
      </c>
      <c r="I32" s="60"/>
      <c r="J32" s="60"/>
      <c r="K32" s="105">
        <f>Tabela_Fevereiro88[[#This Row],[Até]]-Tabela_Fevereiro88[[#This Row],[De]]</f>
        <v>0</v>
      </c>
      <c r="L32" s="97">
        <v>0.3923611111111111</v>
      </c>
      <c r="M32" s="97">
        <v>0.46875</v>
      </c>
      <c r="N32" s="113">
        <f>Tabela_Fevereiro88[[#This Row],[Horário Término]]-Tabela_Fevereiro88[[#This Row],[Horário Inicio]]</f>
        <v>7.6388888888888895E-2</v>
      </c>
      <c r="O32" s="90"/>
      <c r="P32" s="90"/>
      <c r="Q32" s="2"/>
      <c r="R32" s="2"/>
    </row>
    <row r="33" spans="1:18" ht="14" customHeight="1" x14ac:dyDescent="0.35">
      <c r="A33" s="3"/>
      <c r="B33" s="56" t="s">
        <v>170</v>
      </c>
      <c r="C33" s="60">
        <v>79.81</v>
      </c>
      <c r="D33" s="60">
        <v>83</v>
      </c>
      <c r="E33" s="110">
        <f>Tabela_Fevereiro88[[#This Row],[Até:]]-Tabela_Fevereiro88[[#This Row],[De:]]</f>
        <v>3.1899999999999977</v>
      </c>
      <c r="F33" s="110"/>
      <c r="G33" s="110"/>
      <c r="H33" s="57" t="s">
        <v>89</v>
      </c>
      <c r="I33" s="60"/>
      <c r="J33" s="60"/>
      <c r="K33" s="105">
        <f>Tabela_Fevereiro88[[#This Row],[Até]]-Tabela_Fevereiro88[[#This Row],[De]]</f>
        <v>0</v>
      </c>
      <c r="L33" s="97">
        <v>0.49652777777777779</v>
      </c>
      <c r="M33" s="97">
        <v>0.55208333333333337</v>
      </c>
      <c r="N33" s="113">
        <f>Tabela_Fevereiro88[[#This Row],[Horário Término]]-Tabela_Fevereiro88[[#This Row],[Horário Inicio]]</f>
        <v>5.555555555555558E-2</v>
      </c>
      <c r="O33" s="90"/>
      <c r="P33" s="90"/>
      <c r="Q33" s="2"/>
      <c r="R33" s="2"/>
    </row>
    <row r="34" spans="1:18" ht="14" customHeight="1" x14ac:dyDescent="0.35">
      <c r="A34" s="3"/>
      <c r="B34" s="56" t="s">
        <v>170</v>
      </c>
      <c r="C34" s="60">
        <v>83</v>
      </c>
      <c r="D34" s="60">
        <v>86</v>
      </c>
      <c r="E34" s="110">
        <f>Tabela_Fevereiro88[[#This Row],[Até:]]-Tabela_Fevereiro88[[#This Row],[De:]]</f>
        <v>3</v>
      </c>
      <c r="F34" s="110"/>
      <c r="G34" s="110"/>
      <c r="H34" s="57" t="s">
        <v>89</v>
      </c>
      <c r="I34" s="60"/>
      <c r="J34" s="60"/>
      <c r="K34" s="105">
        <f>Tabela_Fevereiro88[[#This Row],[Até]]-Tabela_Fevereiro88[[#This Row],[De]]</f>
        <v>0</v>
      </c>
      <c r="L34" s="97">
        <v>0.58333333333333337</v>
      </c>
      <c r="M34" s="97">
        <v>0.61458333333333337</v>
      </c>
      <c r="N34" s="113">
        <f>Tabela_Fevereiro88[[#This Row],[Horário Término]]-Tabela_Fevereiro88[[#This Row],[Horário Inicio]]</f>
        <v>3.125E-2</v>
      </c>
      <c r="O34" s="90"/>
      <c r="P34" s="90"/>
      <c r="Q34" s="2"/>
      <c r="R34" s="2"/>
    </row>
    <row r="35" spans="1:18" ht="14" customHeight="1" x14ac:dyDescent="0.35">
      <c r="A35" s="3"/>
      <c r="B35" s="56" t="s">
        <v>170</v>
      </c>
      <c r="C35" s="60">
        <v>86</v>
      </c>
      <c r="D35" s="60">
        <v>89.48</v>
      </c>
      <c r="E35" s="110">
        <f>Tabela_Fevereiro88[[#This Row],[Até:]]-Tabela_Fevereiro88[[#This Row],[De:]]</f>
        <v>3.480000000000004</v>
      </c>
      <c r="F35" s="110"/>
      <c r="G35" s="110"/>
      <c r="H35" s="57" t="s">
        <v>89</v>
      </c>
      <c r="I35" s="60"/>
      <c r="J35" s="60"/>
      <c r="K35" s="105">
        <f>Tabela_Fevereiro88[[#This Row],[Até]]-Tabela_Fevereiro88[[#This Row],[De]]</f>
        <v>0</v>
      </c>
      <c r="L35" s="97">
        <v>0.61458333333333337</v>
      </c>
      <c r="M35" s="97">
        <v>0.65277777777777779</v>
      </c>
      <c r="N35" s="113">
        <f>Tabela_Fevereiro88[[#This Row],[Horário Término]]-Tabela_Fevereiro88[[#This Row],[Horário Inicio]]</f>
        <v>3.819444444444442E-2</v>
      </c>
      <c r="O35" s="90"/>
      <c r="P35" s="90"/>
    </row>
    <row r="36" spans="1:18" ht="14" customHeight="1" x14ac:dyDescent="0.35">
      <c r="A36" s="3"/>
      <c r="B36" s="56" t="s">
        <v>170</v>
      </c>
      <c r="C36" s="60">
        <v>89.48</v>
      </c>
      <c r="D36" s="60">
        <v>92</v>
      </c>
      <c r="E36" s="110">
        <f>Tabela_Fevereiro88[[#This Row],[Até:]]-Tabela_Fevereiro88[[#This Row],[De:]]</f>
        <v>2.519999999999996</v>
      </c>
      <c r="F36" s="110"/>
      <c r="G36" s="110"/>
      <c r="H36" s="57" t="s">
        <v>89</v>
      </c>
      <c r="I36" s="60"/>
      <c r="J36" s="60"/>
      <c r="K36" s="105">
        <f>Tabela_Fevereiro88[[#This Row],[Até]]-Tabela_Fevereiro88[[#This Row],[De]]</f>
        <v>0</v>
      </c>
      <c r="L36" s="97">
        <v>0.67361111111111116</v>
      </c>
      <c r="M36" s="97">
        <v>0.69791666666666663</v>
      </c>
      <c r="N36" s="113">
        <f>Tabela_Fevereiro88[[#This Row],[Horário Término]]-Tabela_Fevereiro88[[#This Row],[Horário Inicio]]</f>
        <v>2.4305555555555469E-2</v>
      </c>
      <c r="O36" s="90"/>
      <c r="P36" s="90"/>
    </row>
    <row r="37" spans="1:18" ht="14" customHeight="1" x14ac:dyDescent="0.35">
      <c r="A37" s="3"/>
      <c r="B37" s="56" t="s">
        <v>170</v>
      </c>
      <c r="C37" s="60">
        <v>92</v>
      </c>
      <c r="D37" s="60">
        <v>95.5</v>
      </c>
      <c r="E37" s="110">
        <f>Tabela_Fevereiro88[[#This Row],[Até:]]-Tabela_Fevereiro88[[#This Row],[De:]]</f>
        <v>3.5</v>
      </c>
      <c r="F37" s="110"/>
      <c r="G37" s="110"/>
      <c r="H37" s="57" t="s">
        <v>89</v>
      </c>
      <c r="I37" s="60"/>
      <c r="J37" s="60"/>
      <c r="K37" s="105">
        <f>Tabela_Fevereiro88[[#This Row],[Até]]-Tabela_Fevereiro88[[#This Row],[De]]</f>
        <v>0</v>
      </c>
      <c r="L37" s="97">
        <v>0.69791666666666663</v>
      </c>
      <c r="M37" s="97">
        <v>0.73611111111111116</v>
      </c>
      <c r="N37" s="113">
        <f>Tabela_Fevereiro88[[#This Row],[Horário Término]]-Tabela_Fevereiro88[[#This Row],[Horário Inicio]]</f>
        <v>3.8194444444444531E-2</v>
      </c>
      <c r="O37" s="90"/>
      <c r="P37" s="90"/>
    </row>
    <row r="38" spans="1:18" ht="14" customHeight="1" x14ac:dyDescent="0.35">
      <c r="A38" s="3">
        <v>46158</v>
      </c>
      <c r="B38" s="56" t="s">
        <v>170</v>
      </c>
      <c r="C38" s="60">
        <v>95.5</v>
      </c>
      <c r="D38" s="60">
        <v>98.8</v>
      </c>
      <c r="E38" s="110">
        <f>Tabela_Fevereiro88[[#This Row],[Até:]]-Tabela_Fevereiro88[[#This Row],[De:]]</f>
        <v>3.2999999999999972</v>
      </c>
      <c r="F38" s="110"/>
      <c r="G38" s="110"/>
      <c r="H38" s="57" t="s">
        <v>89</v>
      </c>
      <c r="I38" s="60"/>
      <c r="J38" s="60"/>
      <c r="K38" s="105">
        <f>Tabela_Fevereiro88[[#This Row],[Até]]-Tabela_Fevereiro88[[#This Row],[De]]</f>
        <v>0</v>
      </c>
      <c r="L38" s="97">
        <v>0.3125</v>
      </c>
      <c r="M38" s="97">
        <v>0.375</v>
      </c>
      <c r="N38" s="113">
        <f>Tabela_Fevereiro88[[#This Row],[Horário Término]]-Tabela_Fevereiro88[[#This Row],[Horário Inicio]]</f>
        <v>6.25E-2</v>
      </c>
      <c r="O38" s="90"/>
      <c r="P38" s="90"/>
      <c r="Q38" s="2">
        <v>424</v>
      </c>
      <c r="R38" s="2">
        <v>672</v>
      </c>
    </row>
    <row r="39" spans="1:18" ht="14" customHeight="1" x14ac:dyDescent="0.35">
      <c r="A39" s="3"/>
      <c r="B39" s="56" t="s">
        <v>170</v>
      </c>
      <c r="C39" s="60">
        <v>98.8</v>
      </c>
      <c r="D39" s="60">
        <v>99.83</v>
      </c>
      <c r="E39" s="110">
        <f>Tabela_Fevereiro88[[#This Row],[Até:]]-Tabela_Fevereiro88[[#This Row],[De:]]</f>
        <v>1.0300000000000011</v>
      </c>
      <c r="F39" s="110"/>
      <c r="G39" s="110"/>
      <c r="H39" s="57" t="s">
        <v>89</v>
      </c>
      <c r="I39" s="60"/>
      <c r="J39" s="60"/>
      <c r="K39" s="105">
        <f>Tabela_Fevereiro88[[#This Row],[Até]]-Tabela_Fevereiro88[[#This Row],[De]]</f>
        <v>0</v>
      </c>
      <c r="L39" s="97">
        <v>0.4375</v>
      </c>
      <c r="M39" s="97">
        <v>0.4548611111111111</v>
      </c>
      <c r="N39" s="113">
        <f>Tabela_Fevereiro88[[#This Row],[Horário Término]]-Tabela_Fevereiro88[[#This Row],[Horário Inicio]]</f>
        <v>1.7361111111111105E-2</v>
      </c>
      <c r="O39" s="90"/>
      <c r="P39" s="90"/>
    </row>
    <row r="40" spans="1:18" ht="14" customHeight="1" x14ac:dyDescent="0.35">
      <c r="A40" s="3"/>
      <c r="B40" s="56" t="s">
        <v>170</v>
      </c>
      <c r="C40" s="60">
        <v>99.83</v>
      </c>
      <c r="D40" s="60">
        <v>102</v>
      </c>
      <c r="E40" s="110">
        <f>Tabela_Fevereiro88[[#This Row],[Até:]]-Tabela_Fevereiro88[[#This Row],[De:]]</f>
        <v>2.1700000000000017</v>
      </c>
      <c r="F40" s="110"/>
      <c r="G40" s="110"/>
      <c r="H40" s="57" t="s">
        <v>89</v>
      </c>
      <c r="I40" s="60"/>
      <c r="J40" s="60"/>
      <c r="K40" s="105">
        <f>Tabela_Fevereiro88[[#This Row],[Até]]-Tabela_Fevereiro88[[#This Row],[De]]</f>
        <v>0</v>
      </c>
      <c r="L40" s="97">
        <v>0.47222222222222221</v>
      </c>
      <c r="M40" s="97">
        <v>0.49305555555555558</v>
      </c>
      <c r="N40" s="113">
        <f>Tabela_Fevereiro88[[#This Row],[Horário Término]]-Tabela_Fevereiro88[[#This Row],[Horário Inicio]]</f>
        <v>2.083333333333337E-2</v>
      </c>
      <c r="O40" s="90"/>
      <c r="P40" s="90"/>
    </row>
    <row r="41" spans="1:18" ht="14" customHeight="1" x14ac:dyDescent="0.35">
      <c r="A41" s="3"/>
      <c r="B41" s="56" t="s">
        <v>170</v>
      </c>
      <c r="C41" s="60">
        <v>102</v>
      </c>
      <c r="D41" s="60">
        <v>106</v>
      </c>
      <c r="E41" s="110">
        <f>Tabela_Fevereiro88[[#This Row],[Até:]]-Tabela_Fevereiro88[[#This Row],[De:]]</f>
        <v>4</v>
      </c>
      <c r="F41" s="110"/>
      <c r="G41" s="110"/>
      <c r="H41" s="57" t="s">
        <v>89</v>
      </c>
      <c r="I41" s="60"/>
      <c r="J41" s="60"/>
      <c r="K41" s="105">
        <f>Tabela_Fevereiro88[[#This Row],[Até]]-Tabela_Fevereiro88[[#This Row],[De]]</f>
        <v>0</v>
      </c>
      <c r="L41" s="97">
        <v>0.53472222222222221</v>
      </c>
      <c r="M41" s="97">
        <v>0.57291666666666663</v>
      </c>
      <c r="N41" s="113">
        <f>Tabela_Fevereiro88[[#This Row],[Horário Término]]-Tabela_Fevereiro88[[#This Row],[Horário Inicio]]</f>
        <v>3.819444444444442E-2</v>
      </c>
      <c r="O41" s="90"/>
      <c r="P41" s="90"/>
    </row>
    <row r="42" spans="1:18" ht="14" customHeight="1" x14ac:dyDescent="0.35">
      <c r="A42" s="3"/>
      <c r="B42" s="56" t="s">
        <v>170</v>
      </c>
      <c r="C42" s="60">
        <v>106</v>
      </c>
      <c r="D42" s="60">
        <v>108.53</v>
      </c>
      <c r="E42" s="110">
        <f>Tabela_Fevereiro88[[#This Row],[Até:]]-Tabela_Fevereiro88[[#This Row],[De:]]</f>
        <v>2.5300000000000011</v>
      </c>
      <c r="F42" s="110"/>
      <c r="G42" s="110"/>
      <c r="H42" s="57" t="s">
        <v>89</v>
      </c>
      <c r="I42" s="60"/>
      <c r="J42" s="60"/>
      <c r="K42" s="105">
        <f>Tabela_Fevereiro88[[#This Row],[Até]]-Tabela_Fevereiro88[[#This Row],[De]]</f>
        <v>0</v>
      </c>
      <c r="L42" s="97">
        <v>0.62152777777777779</v>
      </c>
      <c r="M42" s="97">
        <v>0.63888888888888884</v>
      </c>
      <c r="N42" s="113">
        <f>Tabela_Fevereiro88[[#This Row],[Horário Término]]-Tabela_Fevereiro88[[#This Row],[Horário Inicio]]</f>
        <v>1.7361111111111049E-2</v>
      </c>
      <c r="O42" s="90"/>
      <c r="P42" s="90"/>
    </row>
    <row r="43" spans="1:18" ht="14" customHeight="1" x14ac:dyDescent="0.35">
      <c r="A43" s="3"/>
      <c r="B43" s="56" t="s">
        <v>170</v>
      </c>
      <c r="C43" s="60">
        <v>108.53</v>
      </c>
      <c r="D43" s="60">
        <v>111</v>
      </c>
      <c r="E43" s="110">
        <f>Tabela_Fevereiro88[[#This Row],[Até:]]-Tabela_Fevereiro88[[#This Row],[De:]]</f>
        <v>2.4699999999999989</v>
      </c>
      <c r="F43" s="110"/>
      <c r="G43" s="110"/>
      <c r="H43" s="57" t="s">
        <v>89</v>
      </c>
      <c r="I43" s="60"/>
      <c r="J43" s="60"/>
      <c r="K43" s="105">
        <f>Tabela_Fevereiro88[[#This Row],[Até]]-Tabela_Fevereiro88[[#This Row],[De]]</f>
        <v>0</v>
      </c>
      <c r="L43" s="97">
        <v>0.65625</v>
      </c>
      <c r="M43" s="97">
        <v>0.66666666666666663</v>
      </c>
      <c r="N43" s="113">
        <f>Tabela_Fevereiro88[[#This Row],[Horário Término]]-Tabela_Fevereiro88[[#This Row],[Horário Inicio]]</f>
        <v>1.041666666666663E-2</v>
      </c>
      <c r="O43" s="90"/>
      <c r="P43" s="90"/>
    </row>
    <row r="44" spans="1:18" ht="14" customHeight="1" x14ac:dyDescent="0.35">
      <c r="A44" s="3"/>
      <c r="B44" s="56" t="s">
        <v>170</v>
      </c>
      <c r="C44" s="60">
        <v>111</v>
      </c>
      <c r="D44" s="60">
        <v>113</v>
      </c>
      <c r="E44" s="110">
        <f>Tabela_Fevereiro88[[#This Row],[Até:]]-Tabela_Fevereiro88[[#This Row],[De:]]</f>
        <v>2</v>
      </c>
      <c r="F44" s="110"/>
      <c r="G44" s="110"/>
      <c r="H44" s="57" t="s">
        <v>89</v>
      </c>
      <c r="I44" s="60"/>
      <c r="J44" s="60"/>
      <c r="K44" s="105">
        <f>Tabela_Fevereiro88[[#This Row],[Até]]-Tabela_Fevereiro88[[#This Row],[De]]</f>
        <v>0</v>
      </c>
      <c r="L44" s="97">
        <v>0.66666666666666663</v>
      </c>
      <c r="M44" s="97">
        <v>0.68055555555555558</v>
      </c>
      <c r="N44" s="113">
        <f>Tabela_Fevereiro88[[#This Row],[Horário Término]]-Tabela_Fevereiro88[[#This Row],[Horário Inicio]]</f>
        <v>1.3888888888888951E-2</v>
      </c>
      <c r="O44" s="90"/>
      <c r="P44" s="90"/>
    </row>
    <row r="45" spans="1:18" ht="14" customHeight="1" x14ac:dyDescent="0.35">
      <c r="A45" s="3"/>
      <c r="B45" s="56" t="s">
        <v>170</v>
      </c>
      <c r="C45" s="60">
        <v>113</v>
      </c>
      <c r="D45" s="60">
        <v>115</v>
      </c>
      <c r="E45" s="110">
        <f>Tabela_Fevereiro88[[#This Row],[Até:]]-Tabela_Fevereiro88[[#This Row],[De:]]</f>
        <v>2</v>
      </c>
      <c r="F45" s="110"/>
      <c r="G45" s="110"/>
      <c r="H45" s="57" t="s">
        <v>89</v>
      </c>
      <c r="I45" s="60"/>
      <c r="J45" s="60"/>
      <c r="K45" s="105">
        <f>Tabela_Fevereiro88[[#This Row],[Até]]-Tabela_Fevereiro88[[#This Row],[De]]</f>
        <v>0</v>
      </c>
      <c r="L45" s="97">
        <v>0.68055555555555558</v>
      </c>
      <c r="M45" s="97">
        <v>0.6875</v>
      </c>
      <c r="N45" s="113">
        <f>Tabela_Fevereiro88[[#This Row],[Horário Término]]-Tabela_Fevereiro88[[#This Row],[Horário Inicio]]</f>
        <v>6.9444444444444198E-3</v>
      </c>
      <c r="O45" s="90"/>
      <c r="P45" s="90"/>
    </row>
    <row r="46" spans="1:18" ht="14" customHeight="1" x14ac:dyDescent="0.35">
      <c r="A46" s="3"/>
      <c r="B46" s="56" t="s">
        <v>170</v>
      </c>
      <c r="C46" s="60">
        <v>115</v>
      </c>
      <c r="D46" s="60">
        <v>117</v>
      </c>
      <c r="E46" s="110">
        <f>Tabela_Fevereiro88[[#This Row],[Até:]]-Tabela_Fevereiro88[[#This Row],[De:]]</f>
        <v>2</v>
      </c>
      <c r="F46" s="110"/>
      <c r="G46" s="110"/>
      <c r="H46" s="57" t="s">
        <v>89</v>
      </c>
      <c r="I46" s="60"/>
      <c r="J46" s="60"/>
      <c r="K46" s="105">
        <f>Tabela_Fevereiro88[[#This Row],[Até]]-Tabela_Fevereiro88[[#This Row],[De]]</f>
        <v>0</v>
      </c>
      <c r="L46" s="97">
        <v>0.6875</v>
      </c>
      <c r="M46" s="97">
        <v>0.70833333333333337</v>
      </c>
      <c r="N46" s="113">
        <f>Tabela_Fevereiro88[[#This Row],[Horário Término]]-Tabela_Fevereiro88[[#This Row],[Horário Inicio]]</f>
        <v>2.083333333333337E-2</v>
      </c>
      <c r="O46" s="90"/>
      <c r="P46" s="90"/>
      <c r="Q46" s="2"/>
      <c r="R46" s="2"/>
    </row>
    <row r="47" spans="1:18" ht="14" customHeight="1" x14ac:dyDescent="0.35">
      <c r="A47" s="3">
        <v>46159</v>
      </c>
      <c r="B47" s="56" t="s">
        <v>170</v>
      </c>
      <c r="C47" s="60">
        <v>117</v>
      </c>
      <c r="D47" s="60">
        <v>118.25</v>
      </c>
      <c r="E47" s="110">
        <f>Tabela_Fevereiro88[[#This Row],[Até:]]-Tabela_Fevereiro88[[#This Row],[De:]]</f>
        <v>1.25</v>
      </c>
      <c r="F47" s="110"/>
      <c r="G47" s="110"/>
      <c r="H47" s="57" t="s">
        <v>89</v>
      </c>
      <c r="I47" s="60"/>
      <c r="J47" s="60"/>
      <c r="K47" s="105">
        <f>Tabela_Fevereiro88[[#This Row],[Até]]-Tabela_Fevereiro88[[#This Row],[De]]</f>
        <v>0</v>
      </c>
      <c r="L47" s="97">
        <v>0.30902777777777779</v>
      </c>
      <c r="M47" s="97">
        <v>0.33333333333333331</v>
      </c>
      <c r="N47" s="113">
        <f>Tabela_Fevereiro88[[#This Row],[Horário Término]]-Tabela_Fevereiro88[[#This Row],[Horário Inicio]]</f>
        <v>2.4305555555555525E-2</v>
      </c>
      <c r="O47" s="90"/>
      <c r="P47" s="90"/>
      <c r="Q47" s="2">
        <v>676</v>
      </c>
      <c r="R47" s="2">
        <v>980</v>
      </c>
    </row>
    <row r="48" spans="1:18" ht="14" customHeight="1" x14ac:dyDescent="0.35">
      <c r="A48" s="3"/>
      <c r="B48" s="56" t="s">
        <v>170</v>
      </c>
      <c r="C48" s="60">
        <v>118.25</v>
      </c>
      <c r="D48" s="60">
        <v>123</v>
      </c>
      <c r="E48" s="110">
        <f>Tabela_Fevereiro88[[#This Row],[Até:]]-Tabela_Fevereiro88[[#This Row],[De:]]</f>
        <v>4.75</v>
      </c>
      <c r="F48" s="110"/>
      <c r="G48" s="110"/>
      <c r="H48" s="57" t="s">
        <v>89</v>
      </c>
      <c r="I48" s="60"/>
      <c r="J48" s="60"/>
      <c r="K48" s="105">
        <f>Tabela_Fevereiro88[[#This Row],[Até]]-Tabela_Fevereiro88[[#This Row],[De]]</f>
        <v>0</v>
      </c>
      <c r="L48" s="97">
        <v>0.3611111111111111</v>
      </c>
      <c r="M48" s="97">
        <v>0.40625</v>
      </c>
      <c r="N48" s="113">
        <f>Tabela_Fevereiro88[[#This Row],[Horário Término]]-Tabela_Fevereiro88[[#This Row],[Horário Inicio]]</f>
        <v>4.5138888888888895E-2</v>
      </c>
      <c r="O48" s="90"/>
      <c r="P48" s="90"/>
    </row>
    <row r="49" spans="1:19" ht="14" customHeight="1" x14ac:dyDescent="0.35">
      <c r="A49" s="3"/>
      <c r="B49" s="56" t="s">
        <v>170</v>
      </c>
      <c r="C49" s="60">
        <v>123</v>
      </c>
      <c r="D49" s="60">
        <v>124</v>
      </c>
      <c r="E49" s="110">
        <f>Tabela_Fevereiro88[[#This Row],[Até:]]-Tabela_Fevereiro88[[#This Row],[De:]]</f>
        <v>1</v>
      </c>
      <c r="F49" s="110"/>
      <c r="G49" s="110"/>
      <c r="H49" s="57" t="s">
        <v>89</v>
      </c>
      <c r="I49" s="60"/>
      <c r="J49" s="60"/>
      <c r="K49" s="105">
        <f>Tabela_Fevereiro88[[#This Row],[Até]]-Tabela_Fevereiro88[[#This Row],[De]]</f>
        <v>0</v>
      </c>
      <c r="L49" s="97">
        <v>0.40625</v>
      </c>
      <c r="M49" s="97">
        <v>0.42708333333333331</v>
      </c>
      <c r="N49" s="113">
        <f>Tabela_Fevereiro88[[#This Row],[Horário Término]]-Tabela_Fevereiro88[[#This Row],[Horário Inicio]]</f>
        <v>2.0833333333333315E-2</v>
      </c>
      <c r="O49" s="90"/>
      <c r="P49" s="90"/>
    </row>
    <row r="50" spans="1:19" ht="14" customHeight="1" x14ac:dyDescent="0.35">
      <c r="A50" s="3"/>
      <c r="B50" s="56" t="s">
        <v>170</v>
      </c>
      <c r="C50" s="57">
        <v>124</v>
      </c>
      <c r="D50" s="57">
        <v>127.93</v>
      </c>
      <c r="E50" s="110">
        <f>Tabela_Fevereiro88[[#This Row],[Até:]]-Tabela_Fevereiro88[[#This Row],[De:]]</f>
        <v>3.9300000000000068</v>
      </c>
      <c r="F50" s="110"/>
      <c r="G50" s="110"/>
      <c r="H50" s="57" t="s">
        <v>89</v>
      </c>
      <c r="I50" s="60"/>
      <c r="J50" s="60"/>
      <c r="K50" s="105">
        <f>Tabela_Fevereiro88[[#This Row],[Até]]-Tabela_Fevereiro88[[#This Row],[De]]</f>
        <v>0</v>
      </c>
      <c r="L50" s="97">
        <v>0.42708333333333331</v>
      </c>
      <c r="M50" s="97">
        <v>0.4861111111111111</v>
      </c>
      <c r="N50" s="113">
        <f>Tabela_Fevereiro88[[#This Row],[Horário Término]]-Tabela_Fevereiro88[[#This Row],[Horário Inicio]]</f>
        <v>5.902777777777779E-2</v>
      </c>
      <c r="O50" s="90"/>
      <c r="P50" s="90"/>
    </row>
    <row r="51" spans="1:19" ht="14" customHeight="1" x14ac:dyDescent="0.35">
      <c r="B51" s="56" t="s">
        <v>170</v>
      </c>
      <c r="C51" s="60">
        <v>127.93</v>
      </c>
      <c r="D51" s="60">
        <v>133</v>
      </c>
      <c r="E51" s="110">
        <f>Tabela_Fevereiro88[[#This Row],[Até:]]-Tabela_Fevereiro88[[#This Row],[De:]]</f>
        <v>5.0699999999999932</v>
      </c>
      <c r="F51" s="110"/>
      <c r="G51" s="110"/>
      <c r="H51" s="57" t="s">
        <v>89</v>
      </c>
      <c r="I51" s="60"/>
      <c r="J51" s="60"/>
      <c r="K51" s="105">
        <f>Tabela_Fevereiro88[[#This Row],[Até]]-Tabela_Fevereiro88[[#This Row],[De]]</f>
        <v>0</v>
      </c>
      <c r="L51" s="97">
        <v>0.51388888888888884</v>
      </c>
      <c r="M51" s="97">
        <v>0.56944444444444442</v>
      </c>
      <c r="N51" s="113">
        <f>Tabela_Fevereiro88[[#This Row],[Horário Término]]-Tabela_Fevereiro88[[#This Row],[Horário Inicio]]</f>
        <v>5.555555555555558E-2</v>
      </c>
      <c r="O51" s="90"/>
      <c r="P51" s="90"/>
    </row>
    <row r="52" spans="1:19" ht="14" customHeight="1" x14ac:dyDescent="0.35">
      <c r="A52" s="3"/>
      <c r="B52" s="56" t="s">
        <v>170</v>
      </c>
      <c r="C52" s="60">
        <v>133</v>
      </c>
      <c r="D52" s="60">
        <v>134</v>
      </c>
      <c r="E52" s="110">
        <f>Tabela_Fevereiro88[[#This Row],[Até:]]-Tabela_Fevereiro88[[#This Row],[De:]]</f>
        <v>1</v>
      </c>
      <c r="F52" s="110"/>
      <c r="G52" s="110"/>
      <c r="H52" s="57" t="s">
        <v>89</v>
      </c>
      <c r="I52" s="60"/>
      <c r="J52" s="60"/>
      <c r="K52" s="105">
        <f>Tabela_Fevereiro88[[#This Row],[Até]]-Tabela_Fevereiro88[[#This Row],[De]]</f>
        <v>0</v>
      </c>
      <c r="L52" s="97">
        <v>0.56944444444444442</v>
      </c>
      <c r="M52" s="97">
        <v>0.58333333333333337</v>
      </c>
      <c r="N52" s="113">
        <f>Tabela_Fevereiro88[[#This Row],[Horário Término]]-Tabela_Fevereiro88[[#This Row],[Horário Inicio]]</f>
        <v>1.3888888888888951E-2</v>
      </c>
      <c r="O52" s="90"/>
      <c r="P52" s="90"/>
    </row>
    <row r="53" spans="1:19" s="61" customFormat="1" x14ac:dyDescent="0.35">
      <c r="A53" s="3"/>
      <c r="B53" s="56" t="s">
        <v>170</v>
      </c>
      <c r="C53" s="60">
        <v>134</v>
      </c>
      <c r="D53" s="60">
        <v>137</v>
      </c>
      <c r="E53" s="110">
        <f>Tabela_Fevereiro88[[#This Row],[Até:]]-Tabela_Fevereiro88[[#This Row],[De:]]</f>
        <v>3</v>
      </c>
      <c r="F53" s="110"/>
      <c r="G53" s="110"/>
      <c r="H53" s="57" t="s">
        <v>89</v>
      </c>
      <c r="I53" s="60"/>
      <c r="J53" s="60"/>
      <c r="K53" s="105">
        <f>Tabela_Fevereiro88[[#This Row],[Até]]-Tabela_Fevereiro88[[#This Row],[De]]</f>
        <v>0</v>
      </c>
      <c r="L53" s="97">
        <v>0.58333333333333337</v>
      </c>
      <c r="M53" s="97">
        <v>0.61111111111111116</v>
      </c>
      <c r="N53" s="113">
        <f>Tabela_Fevereiro88[[#This Row],[Horário Término]]-Tabela_Fevereiro88[[#This Row],[Horário Inicio]]</f>
        <v>2.777777777777779E-2</v>
      </c>
      <c r="O53" s="90"/>
      <c r="P53" s="90"/>
      <c r="S53"/>
    </row>
    <row r="54" spans="1:19" s="61" customFormat="1" x14ac:dyDescent="0.35">
      <c r="A54" s="3"/>
      <c r="B54" s="56" t="s">
        <v>170</v>
      </c>
      <c r="C54" s="60">
        <v>137</v>
      </c>
      <c r="D54" s="60">
        <v>137.66</v>
      </c>
      <c r="E54" s="110">
        <f>Tabela_Fevereiro88[[#This Row],[Até:]]-Tabela_Fevereiro88[[#This Row],[De:]]</f>
        <v>0.65999999999999659</v>
      </c>
      <c r="F54" s="110"/>
      <c r="G54" s="110"/>
      <c r="H54" s="57" t="s">
        <v>89</v>
      </c>
      <c r="I54" s="60"/>
      <c r="J54" s="60"/>
      <c r="K54" s="105">
        <f>Tabela_Fevereiro88[[#This Row],[Até]]-Tabela_Fevereiro88[[#This Row],[De]]</f>
        <v>0</v>
      </c>
      <c r="L54" s="97">
        <v>0.61111111111111116</v>
      </c>
      <c r="M54" s="97">
        <v>0.61805555555555558</v>
      </c>
      <c r="N54" s="113">
        <f>Tabela_Fevereiro88[[#This Row],[Horário Término]]-Tabela_Fevereiro88[[#This Row],[Horário Inicio]]</f>
        <v>6.9444444444444198E-3</v>
      </c>
      <c r="O54" s="90"/>
      <c r="P54" s="90"/>
      <c r="Q54" s="2"/>
      <c r="R54" s="2"/>
      <c r="S54"/>
    </row>
    <row r="55" spans="1:19" s="61" customFormat="1" x14ac:dyDescent="0.35">
      <c r="A55" s="3"/>
      <c r="B55" s="56" t="s">
        <v>170</v>
      </c>
      <c r="C55" s="60">
        <v>137.66</v>
      </c>
      <c r="D55" s="60">
        <v>147</v>
      </c>
      <c r="E55" s="110">
        <f>Tabela_Fevereiro88[[#This Row],[Até:]]-Tabela_Fevereiro88[[#This Row],[De:]]</f>
        <v>9.3400000000000034</v>
      </c>
      <c r="F55" s="110"/>
      <c r="G55" s="110"/>
      <c r="H55" s="57" t="s">
        <v>89</v>
      </c>
      <c r="I55" s="60"/>
      <c r="J55" s="60"/>
      <c r="K55" s="105">
        <f>Tabela_Fevereiro88[[#This Row],[Até]]-Tabela_Fevereiro88[[#This Row],[De]]</f>
        <v>0</v>
      </c>
      <c r="L55" s="97">
        <v>0.65277777777777779</v>
      </c>
      <c r="M55" s="97">
        <v>0.70833333333333337</v>
      </c>
      <c r="N55" s="113">
        <f>Tabela_Fevereiro88[[#This Row],[Horário Término]]-Tabela_Fevereiro88[[#This Row],[Horário Inicio]]</f>
        <v>5.555555555555558E-2</v>
      </c>
      <c r="O55" s="90"/>
      <c r="P55" s="90"/>
      <c r="Q55" s="2"/>
      <c r="R55" s="2"/>
      <c r="S55"/>
    </row>
    <row r="56" spans="1:19" s="61" customFormat="1" x14ac:dyDescent="0.35">
      <c r="A56" s="3">
        <v>46160</v>
      </c>
      <c r="B56" s="56" t="s">
        <v>170</v>
      </c>
      <c r="C56" s="60">
        <v>147</v>
      </c>
      <c r="D56" s="60">
        <v>149</v>
      </c>
      <c r="E56" s="110">
        <f>Tabela_Fevereiro88[[#This Row],[Até:]]-Tabela_Fevereiro88[[#This Row],[De:]]</f>
        <v>2</v>
      </c>
      <c r="F56" s="110"/>
      <c r="G56" s="110"/>
      <c r="H56" s="57" t="s">
        <v>89</v>
      </c>
      <c r="I56" s="60"/>
      <c r="J56" s="60"/>
      <c r="K56" s="105">
        <f>Tabela_Fevereiro88[[#This Row],[Até]]-Tabela_Fevereiro88[[#This Row],[De]]</f>
        <v>0</v>
      </c>
      <c r="L56" s="97">
        <v>0.31944444444444442</v>
      </c>
      <c r="M56" s="97">
        <v>0.3298611111111111</v>
      </c>
      <c r="N56" s="113">
        <f>Tabela_Fevereiro88[[#This Row],[Horário Término]]-Tabela_Fevereiro88[[#This Row],[Horário Inicio]]</f>
        <v>1.0416666666666685E-2</v>
      </c>
      <c r="O56" s="90"/>
      <c r="P56" s="90"/>
      <c r="Q56" s="2">
        <v>566</v>
      </c>
      <c r="R56" s="2">
        <v>925</v>
      </c>
      <c r="S56"/>
    </row>
    <row r="57" spans="1:19" s="61" customFormat="1" x14ac:dyDescent="0.35">
      <c r="A57" s="141"/>
      <c r="B57" s="186" t="s">
        <v>170</v>
      </c>
      <c r="C57" s="187">
        <v>149</v>
      </c>
      <c r="D57" s="187">
        <v>150</v>
      </c>
      <c r="E57" s="188">
        <f>Tabela_Fevereiro88[[#This Row],[Até:]]-Tabela_Fevereiro88[[#This Row],[De:]]</f>
        <v>1</v>
      </c>
      <c r="F57" s="188"/>
      <c r="G57" s="188"/>
      <c r="H57" s="57" t="s">
        <v>89</v>
      </c>
      <c r="I57" s="187"/>
      <c r="J57" s="187"/>
      <c r="K57" s="189">
        <f>Tabela_Fevereiro88[[#This Row],[Até]]-Tabela_Fevereiro88[[#This Row],[De]]</f>
        <v>0</v>
      </c>
      <c r="L57" s="190">
        <v>0.3298611111111111</v>
      </c>
      <c r="M57" s="190">
        <v>0.33680555555555558</v>
      </c>
      <c r="N57" s="191">
        <f>Tabela_Fevereiro88[[#This Row],[Horário Término]]-Tabela_Fevereiro88[[#This Row],[Horário Inicio]]</f>
        <v>6.9444444444444753E-3</v>
      </c>
      <c r="O57" s="192"/>
      <c r="P57" s="192"/>
      <c r="Q57" s="193"/>
      <c r="R57" s="193"/>
      <c r="S57" s="142"/>
    </row>
    <row r="58" spans="1:19" s="61" customFormat="1" x14ac:dyDescent="0.35">
      <c r="A58" s="3"/>
      <c r="B58" s="56" t="s">
        <v>170</v>
      </c>
      <c r="C58" s="60">
        <v>150</v>
      </c>
      <c r="D58" s="60">
        <v>153</v>
      </c>
      <c r="E58" s="110">
        <f>Tabela_Fevereiro88[[#This Row],[Até:]]-Tabela_Fevereiro88[[#This Row],[De:]]</f>
        <v>3</v>
      </c>
      <c r="F58" s="110"/>
      <c r="G58" s="110"/>
      <c r="H58" s="57" t="s">
        <v>89</v>
      </c>
      <c r="I58" s="60"/>
      <c r="J58" s="60"/>
      <c r="K58" s="105">
        <f>Tabela_Fevereiro88[[#This Row],[Até]]-Tabela_Fevereiro88[[#This Row],[De]]</f>
        <v>0</v>
      </c>
      <c r="L58" s="97">
        <v>0.33680555555555558</v>
      </c>
      <c r="M58" s="97">
        <v>0.36805555555555558</v>
      </c>
      <c r="N58" s="113">
        <f>Tabela_Fevereiro88[[#This Row],[Horário Término]]-Tabela_Fevereiro88[[#This Row],[Horário Inicio]]</f>
        <v>3.125E-2</v>
      </c>
      <c r="O58" s="90"/>
      <c r="P58" s="90"/>
      <c r="S58"/>
    </row>
    <row r="59" spans="1:19" s="61" customFormat="1" x14ac:dyDescent="0.35">
      <c r="A59" s="3"/>
      <c r="B59" s="56" t="s">
        <v>170</v>
      </c>
      <c r="C59" s="135">
        <v>153</v>
      </c>
      <c r="D59" s="135">
        <v>156.91</v>
      </c>
      <c r="E59" s="110">
        <f>Tabela_Fevereiro88[[#This Row],[Até:]]-Tabela_Fevereiro88[[#This Row],[De:]]</f>
        <v>3.9099999999999966</v>
      </c>
      <c r="F59" s="110"/>
      <c r="G59" s="110"/>
      <c r="H59" s="57" t="s">
        <v>89</v>
      </c>
      <c r="I59" s="60"/>
      <c r="J59" s="60"/>
      <c r="K59" s="105">
        <f>Tabela_Fevereiro88[[#This Row],[Até]]-Tabela_Fevereiro88[[#This Row],[De]]</f>
        <v>0</v>
      </c>
      <c r="L59" s="97">
        <v>0.36805555555555558</v>
      </c>
      <c r="M59" s="97">
        <v>0.4201388888888889</v>
      </c>
      <c r="N59" s="113">
        <f>Tabela_Fevereiro88[[#This Row],[Horário Término]]-Tabela_Fevereiro88[[#This Row],[Horário Inicio]]</f>
        <v>5.2083333333333315E-2</v>
      </c>
      <c r="O59" s="90"/>
      <c r="P59" s="90"/>
      <c r="S59"/>
    </row>
    <row r="60" spans="1:19" s="61" customFormat="1" x14ac:dyDescent="0.35">
      <c r="A60" s="3"/>
      <c r="B60" s="56" t="s">
        <v>170</v>
      </c>
      <c r="C60" s="135">
        <v>156.91</v>
      </c>
      <c r="D60" s="135">
        <v>158</v>
      </c>
      <c r="E60" s="110">
        <f>Tabela_Fevereiro88[[#This Row],[Até:]]-Tabela_Fevereiro88[[#This Row],[De:]]</f>
        <v>1.0900000000000034</v>
      </c>
      <c r="F60" s="110"/>
      <c r="G60" s="110"/>
      <c r="H60" s="57" t="s">
        <v>89</v>
      </c>
      <c r="I60" s="60"/>
      <c r="J60" s="60"/>
      <c r="K60" s="105">
        <f>Tabela_Fevereiro88[[#This Row],[Até]]-Tabela_Fevereiro88[[#This Row],[De]]</f>
        <v>0</v>
      </c>
      <c r="L60" s="97">
        <v>0.46875</v>
      </c>
      <c r="M60" s="97">
        <v>0.47916666666666669</v>
      </c>
      <c r="N60" s="113">
        <f>Tabela_Fevereiro88[[#This Row],[Horário Término]]-Tabela_Fevereiro88[[#This Row],[Horário Inicio]]</f>
        <v>1.0416666666666685E-2</v>
      </c>
      <c r="O60" s="90"/>
      <c r="P60" s="90"/>
      <c r="S60"/>
    </row>
    <row r="61" spans="1:19" s="61" customFormat="1" x14ac:dyDescent="0.35">
      <c r="A61" s="3"/>
      <c r="B61" s="56" t="s">
        <v>170</v>
      </c>
      <c r="C61" s="135">
        <v>158</v>
      </c>
      <c r="D61" s="135">
        <v>163</v>
      </c>
      <c r="E61" s="110">
        <f>Tabela_Fevereiro88[[#This Row],[Até:]]-Tabela_Fevereiro88[[#This Row],[De:]]</f>
        <v>5</v>
      </c>
      <c r="F61" s="110"/>
      <c r="G61" s="110"/>
      <c r="H61" s="57" t="s">
        <v>89</v>
      </c>
      <c r="I61" s="60"/>
      <c r="J61" s="60"/>
      <c r="K61" s="105">
        <f>Tabela_Fevereiro88[[#This Row],[Até]]-Tabela_Fevereiro88[[#This Row],[De]]</f>
        <v>0</v>
      </c>
      <c r="L61" s="97">
        <v>0.47916666666666669</v>
      </c>
      <c r="M61" s="97">
        <v>0.55555555555555558</v>
      </c>
      <c r="N61" s="113">
        <f>Tabela_Fevereiro88[[#This Row],[Horário Término]]-Tabela_Fevereiro88[[#This Row],[Horário Inicio]]</f>
        <v>7.6388888888888895E-2</v>
      </c>
      <c r="O61" s="90"/>
      <c r="P61" s="90"/>
      <c r="S61"/>
    </row>
    <row r="62" spans="1:19" s="61" customFormat="1" x14ac:dyDescent="0.35">
      <c r="A62" s="3"/>
      <c r="B62" s="56" t="s">
        <v>170</v>
      </c>
      <c r="C62" s="135">
        <v>163</v>
      </c>
      <c r="D62" s="135">
        <v>166</v>
      </c>
      <c r="E62" s="110">
        <f>Tabela_Fevereiro88[[#This Row],[Até:]]-Tabela_Fevereiro88[[#This Row],[De:]]</f>
        <v>3</v>
      </c>
      <c r="F62" s="110"/>
      <c r="G62" s="110"/>
      <c r="H62" s="57" t="s">
        <v>89</v>
      </c>
      <c r="I62" s="60"/>
      <c r="J62" s="60"/>
      <c r="K62" s="105">
        <f>Tabela_Fevereiro88[[#This Row],[Até]]-Tabela_Fevereiro88[[#This Row],[De]]</f>
        <v>0</v>
      </c>
      <c r="L62" s="97">
        <v>0.55555555555555558</v>
      </c>
      <c r="M62" s="97">
        <v>0.57986111111111116</v>
      </c>
      <c r="N62" s="113">
        <f>Tabela_Fevereiro88[[#This Row],[Horário Término]]-Tabela_Fevereiro88[[#This Row],[Horário Inicio]]</f>
        <v>2.430555555555558E-2</v>
      </c>
      <c r="O62" s="90"/>
      <c r="P62" s="90"/>
      <c r="Q62" s="2"/>
      <c r="R62" s="2"/>
      <c r="S62"/>
    </row>
    <row r="63" spans="1:19" s="61" customFormat="1" x14ac:dyDescent="0.35">
      <c r="A63" s="3"/>
      <c r="B63" s="56" t="s">
        <v>170</v>
      </c>
      <c r="C63" s="135">
        <v>166</v>
      </c>
      <c r="D63" s="135">
        <v>166.59</v>
      </c>
      <c r="E63" s="110">
        <f>Tabela_Fevereiro88[[#This Row],[Até:]]-Tabela_Fevereiro88[[#This Row],[De:]]</f>
        <v>0.59000000000000341</v>
      </c>
      <c r="F63" s="110"/>
      <c r="G63" s="110"/>
      <c r="H63" s="57" t="s">
        <v>89</v>
      </c>
      <c r="I63" s="60"/>
      <c r="J63" s="60"/>
      <c r="K63" s="105">
        <f>Tabela_Fevereiro88[[#This Row],[Até]]-Tabela_Fevereiro88[[#This Row],[De]]</f>
        <v>0</v>
      </c>
      <c r="L63" s="97">
        <v>0.57986111111111116</v>
      </c>
      <c r="M63" s="97">
        <v>0.58680555555555558</v>
      </c>
      <c r="N63" s="113">
        <f>Tabela_Fevereiro88[[#This Row],[Horário Término]]-Tabela_Fevereiro88[[#This Row],[Horário Inicio]]</f>
        <v>6.9444444444444198E-3</v>
      </c>
      <c r="O63" s="90"/>
      <c r="P63" s="90"/>
      <c r="S63"/>
    </row>
    <row r="64" spans="1:19" s="61" customFormat="1" x14ac:dyDescent="0.35">
      <c r="A64" s="3"/>
      <c r="B64" s="56" t="s">
        <v>170</v>
      </c>
      <c r="C64" s="135">
        <v>166.59</v>
      </c>
      <c r="D64" s="135">
        <v>171</v>
      </c>
      <c r="E64" s="110">
        <f>Tabela_Fevereiro88[[#This Row],[Até:]]-Tabela_Fevereiro88[[#This Row],[De:]]</f>
        <v>4.4099999999999966</v>
      </c>
      <c r="F64" s="110"/>
      <c r="G64" s="110"/>
      <c r="H64" s="57" t="s">
        <v>89</v>
      </c>
      <c r="I64" s="60"/>
      <c r="J64" s="60"/>
      <c r="K64" s="105">
        <f>Tabela_Fevereiro88[[#This Row],[Até]]-Tabela_Fevereiro88[[#This Row],[De]]</f>
        <v>0</v>
      </c>
      <c r="L64" s="97">
        <v>0.625</v>
      </c>
      <c r="M64" s="97">
        <v>0.65277777777777779</v>
      </c>
      <c r="N64" s="113">
        <f>Tabela_Fevereiro88[[#This Row],[Horário Término]]-Tabela_Fevereiro88[[#This Row],[Horário Inicio]]</f>
        <v>2.777777777777779E-2</v>
      </c>
      <c r="O64" s="90"/>
      <c r="P64" s="90"/>
      <c r="S64"/>
    </row>
    <row r="65" spans="1:19" s="61" customFormat="1" x14ac:dyDescent="0.35">
      <c r="A65" s="3"/>
      <c r="B65" s="56" t="s">
        <v>170</v>
      </c>
      <c r="C65" s="135">
        <v>171</v>
      </c>
      <c r="D65" s="135">
        <v>174</v>
      </c>
      <c r="E65" s="110">
        <f>Tabela_Fevereiro88[[#This Row],[Até:]]-Tabela_Fevereiro88[[#This Row],[De:]]</f>
        <v>3</v>
      </c>
      <c r="F65" s="110"/>
      <c r="G65" s="110"/>
      <c r="H65" s="57" t="s">
        <v>89</v>
      </c>
      <c r="I65" s="60"/>
      <c r="J65" s="60"/>
      <c r="K65" s="105">
        <f>Tabela_Fevereiro88[[#This Row],[Até]]-Tabela_Fevereiro88[[#This Row],[De]]</f>
        <v>0</v>
      </c>
      <c r="L65" s="97">
        <v>0.65277777777777779</v>
      </c>
      <c r="M65" s="97">
        <v>0.69444444444444442</v>
      </c>
      <c r="N65" s="113">
        <f>Tabela_Fevereiro88[[#This Row],[Horário Término]]-Tabela_Fevereiro88[[#This Row],[Horário Inicio]]</f>
        <v>4.166666666666663E-2</v>
      </c>
      <c r="O65" s="90"/>
      <c r="P65" s="90"/>
      <c r="S65"/>
    </row>
    <row r="66" spans="1:19" s="61" customFormat="1" x14ac:dyDescent="0.35">
      <c r="A66" s="3"/>
      <c r="B66" s="56" t="s">
        <v>170</v>
      </c>
      <c r="C66" s="60">
        <v>174</v>
      </c>
      <c r="D66" s="60">
        <v>176.2</v>
      </c>
      <c r="E66" s="110">
        <f>Tabela_Fevereiro88[[#This Row],[Até:]]-Tabela_Fevereiro88[[#This Row],[De:]]</f>
        <v>2.1999999999999886</v>
      </c>
      <c r="F66" s="110"/>
      <c r="G66" s="110"/>
      <c r="H66" s="57" t="s">
        <v>89</v>
      </c>
      <c r="I66" s="60"/>
      <c r="J66" s="60"/>
      <c r="K66" s="105">
        <f>Tabela_Fevereiro88[[#This Row],[Até]]-Tabela_Fevereiro88[[#This Row],[De]]</f>
        <v>0</v>
      </c>
      <c r="L66" s="97">
        <v>0.69444444444444442</v>
      </c>
      <c r="M66" s="97">
        <v>0.71875</v>
      </c>
      <c r="N66" s="113">
        <f>Tabela_Fevereiro88[[#This Row],[Horário Término]]-Tabela_Fevereiro88[[#This Row],[Horário Inicio]]</f>
        <v>2.430555555555558E-2</v>
      </c>
      <c r="O66" s="90"/>
      <c r="P66" s="90"/>
      <c r="S66"/>
    </row>
    <row r="67" spans="1:19" s="61" customFormat="1" x14ac:dyDescent="0.35">
      <c r="A67" s="3">
        <v>46161</v>
      </c>
      <c r="B67" s="56" t="s">
        <v>170</v>
      </c>
      <c r="C67" s="60">
        <v>176.2</v>
      </c>
      <c r="D67" s="60">
        <v>183</v>
      </c>
      <c r="E67" s="110">
        <f>Tabela_Fevereiro88[[#This Row],[Até:]]-Tabela_Fevereiro88[[#This Row],[De:]]</f>
        <v>6.8000000000000114</v>
      </c>
      <c r="F67" s="110"/>
      <c r="G67" s="110"/>
      <c r="H67" s="57" t="s">
        <v>89</v>
      </c>
      <c r="I67" s="60"/>
      <c r="J67" s="60"/>
      <c r="K67" s="105">
        <f>Tabela_Fevereiro88[[#This Row],[Até]]-Tabela_Fevereiro88[[#This Row],[De]]</f>
        <v>0</v>
      </c>
      <c r="L67" s="97">
        <v>0.30555555555555558</v>
      </c>
      <c r="M67" s="97">
        <v>0.3923611111111111</v>
      </c>
      <c r="N67" s="113">
        <f>Tabela_Fevereiro88[[#This Row],[Horário Término]]-Tabela_Fevereiro88[[#This Row],[Horário Inicio]]</f>
        <v>8.6805555555555525E-2</v>
      </c>
      <c r="O67" s="90"/>
      <c r="P67" s="90"/>
      <c r="Q67" s="2">
        <v>990</v>
      </c>
      <c r="R67" s="2">
        <v>163</v>
      </c>
      <c r="S67"/>
    </row>
    <row r="68" spans="1:19" s="61" customFormat="1" x14ac:dyDescent="0.35">
      <c r="B68" s="56" t="s">
        <v>170</v>
      </c>
      <c r="C68" s="60">
        <v>183</v>
      </c>
      <c r="D68" s="60">
        <v>184.5</v>
      </c>
      <c r="E68" s="110">
        <f>Tabela_Fevereiro88[[#This Row],[Até:]]-Tabela_Fevereiro88[[#This Row],[De:]]</f>
        <v>1.5</v>
      </c>
      <c r="F68" s="110"/>
      <c r="G68" s="110"/>
      <c r="H68" s="57" t="s">
        <v>89</v>
      </c>
      <c r="I68" s="60"/>
      <c r="J68" s="60"/>
      <c r="K68" s="105">
        <f>Tabela_Fevereiro88[[#This Row],[Até]]-Tabela_Fevereiro88[[#This Row],[De]]</f>
        <v>0</v>
      </c>
      <c r="L68" s="97">
        <v>0.39930555555555558</v>
      </c>
      <c r="M68" s="97">
        <v>0.41666666666666669</v>
      </c>
      <c r="N68" s="113">
        <f>Tabela_Fevereiro88[[#This Row],[Horário Término]]-Tabela_Fevereiro88[[#This Row],[Horário Inicio]]</f>
        <v>1.7361111111111105E-2</v>
      </c>
      <c r="O68" s="90"/>
      <c r="P68" s="90"/>
      <c r="S68"/>
    </row>
    <row r="69" spans="1:19" s="61" customFormat="1" x14ac:dyDescent="0.35">
      <c r="A69" s="3"/>
      <c r="B69" s="56" t="s">
        <v>170</v>
      </c>
      <c r="C69" s="60">
        <v>184.5</v>
      </c>
      <c r="D69" s="60">
        <v>185.78</v>
      </c>
      <c r="E69" s="110">
        <f>Tabela_Fevereiro88[[#This Row],[Até:]]-Tabela_Fevereiro88[[#This Row],[De:]]</f>
        <v>1.2800000000000011</v>
      </c>
      <c r="F69" s="110"/>
      <c r="G69" s="110"/>
      <c r="H69" s="57" t="s">
        <v>89</v>
      </c>
      <c r="I69" s="60"/>
      <c r="J69" s="60"/>
      <c r="K69" s="105">
        <f>Tabela_Fevereiro88[[#This Row],[Até]]-Tabela_Fevereiro88[[#This Row],[De]]</f>
        <v>0</v>
      </c>
      <c r="L69" s="97">
        <v>0.50347222222222221</v>
      </c>
      <c r="M69" s="97">
        <v>0.51736111111111116</v>
      </c>
      <c r="N69" s="113">
        <f>Tabela_Fevereiro88[[#This Row],[Horário Término]]-Tabela_Fevereiro88[[#This Row],[Horário Inicio]]</f>
        <v>1.3888888888888951E-2</v>
      </c>
      <c r="O69" s="90"/>
      <c r="P69" s="90"/>
      <c r="S69"/>
    </row>
    <row r="70" spans="1:19" s="61" customFormat="1" x14ac:dyDescent="0.35">
      <c r="A70" s="3"/>
      <c r="B70" s="56" t="s">
        <v>170</v>
      </c>
      <c r="C70" s="60">
        <v>185.78</v>
      </c>
      <c r="D70" s="60">
        <v>192</v>
      </c>
      <c r="E70" s="110">
        <f>Tabela_Fevereiro88[[#This Row],[Até:]]-Tabela_Fevereiro88[[#This Row],[De:]]</f>
        <v>6.2199999999999989</v>
      </c>
      <c r="F70" s="110"/>
      <c r="G70" s="110"/>
      <c r="H70" s="57" t="s">
        <v>89</v>
      </c>
      <c r="I70" s="60"/>
      <c r="J70" s="60"/>
      <c r="K70" s="105">
        <f>Tabela_Fevereiro88[[#This Row],[Até]]-Tabela_Fevereiro88[[#This Row],[De]]</f>
        <v>0</v>
      </c>
      <c r="L70" s="97">
        <v>0.54166666666666663</v>
      </c>
      <c r="M70" s="97">
        <v>0.61805555555555558</v>
      </c>
      <c r="N70" s="113">
        <f>Tabela_Fevereiro88[[#This Row],[Horário Término]]-Tabela_Fevereiro88[[#This Row],[Horário Inicio]]</f>
        <v>7.6388888888888951E-2</v>
      </c>
      <c r="O70" s="90"/>
      <c r="P70" s="90"/>
      <c r="S70"/>
    </row>
    <row r="71" spans="1:19" s="61" customFormat="1" x14ac:dyDescent="0.35">
      <c r="A71" s="3"/>
      <c r="B71" s="56" t="s">
        <v>170</v>
      </c>
      <c r="C71" s="60">
        <v>192</v>
      </c>
      <c r="D71" s="60">
        <v>195.52</v>
      </c>
      <c r="E71" s="110">
        <f>Tabela_Fevereiro88[[#This Row],[Até:]]-Tabela_Fevereiro88[[#This Row],[De:]]</f>
        <v>3.5200000000000102</v>
      </c>
      <c r="F71" s="110"/>
      <c r="G71" s="110"/>
      <c r="H71" s="57" t="s">
        <v>89</v>
      </c>
      <c r="I71" s="60"/>
      <c r="J71" s="60"/>
      <c r="K71" s="105">
        <f>Tabela_Fevereiro88[[#This Row],[Até]]-Tabela_Fevereiro88[[#This Row],[De]]</f>
        <v>0</v>
      </c>
      <c r="L71" s="97">
        <v>0.61805555555555558</v>
      </c>
      <c r="M71" s="97">
        <v>0.67361111111111116</v>
      </c>
      <c r="N71" s="113">
        <f>Tabela_Fevereiro88[[#This Row],[Horário Término]]-Tabela_Fevereiro88[[#This Row],[Horário Inicio]]</f>
        <v>5.555555555555558E-2</v>
      </c>
      <c r="O71" s="90"/>
      <c r="P71" s="90"/>
      <c r="S71"/>
    </row>
    <row r="72" spans="1:19" s="61" customFormat="1" x14ac:dyDescent="0.35">
      <c r="A72" s="3"/>
      <c r="B72" s="56" t="s">
        <v>170</v>
      </c>
      <c r="C72" s="60">
        <v>195.52</v>
      </c>
      <c r="D72" s="60">
        <v>197</v>
      </c>
      <c r="E72" s="110">
        <f>Tabela_Fevereiro88[[#This Row],[Até:]]-Tabela_Fevereiro88[[#This Row],[De:]]</f>
        <v>1.4799999999999898</v>
      </c>
      <c r="F72" s="110"/>
      <c r="G72" s="110"/>
      <c r="H72" s="57" t="s">
        <v>89</v>
      </c>
      <c r="I72" s="60"/>
      <c r="J72" s="60"/>
      <c r="K72" s="105">
        <f>Tabela_Fevereiro88[[#This Row],[Até]]-Tabela_Fevereiro88[[#This Row],[De]]</f>
        <v>0</v>
      </c>
      <c r="L72" s="97">
        <v>0.69444444444444442</v>
      </c>
      <c r="M72" s="97">
        <v>0.71527777777777779</v>
      </c>
      <c r="N72" s="113">
        <f>Tabela_Fevereiro88[[#This Row],[Horário Término]]-Tabela_Fevereiro88[[#This Row],[Horário Inicio]]</f>
        <v>2.083333333333337E-2</v>
      </c>
      <c r="O72" s="90"/>
      <c r="P72" s="90"/>
      <c r="Q72" s="2"/>
      <c r="R72" s="2"/>
      <c r="S72"/>
    </row>
    <row r="73" spans="1:19" s="61" customFormat="1" x14ac:dyDescent="0.35">
      <c r="A73" s="3">
        <v>46162</v>
      </c>
      <c r="B73" s="56" t="s">
        <v>170</v>
      </c>
      <c r="C73" s="60">
        <v>197</v>
      </c>
      <c r="D73" s="60">
        <v>200</v>
      </c>
      <c r="E73" s="110">
        <f>Tabela_Fevereiro88[[#This Row],[Até:]]-Tabela_Fevereiro88[[#This Row],[De:]]</f>
        <v>3</v>
      </c>
      <c r="F73" s="110"/>
      <c r="G73" s="110"/>
      <c r="H73" s="57" t="s">
        <v>89</v>
      </c>
      <c r="I73" s="60"/>
      <c r="J73" s="60"/>
      <c r="K73" s="105">
        <f>Tabela_Fevereiro88[[#This Row],[Até]]-Tabela_Fevereiro88[[#This Row],[De]]</f>
        <v>0</v>
      </c>
      <c r="L73" s="97">
        <v>0.35069444444444442</v>
      </c>
      <c r="M73" s="97">
        <v>0.39583333333333331</v>
      </c>
      <c r="N73" s="113">
        <f>Tabela_Fevereiro88[[#This Row],[Horário Término]]-Tabela_Fevereiro88[[#This Row],[Horário Inicio]]</f>
        <v>4.5138888888888895E-2</v>
      </c>
      <c r="O73" s="90"/>
      <c r="P73" s="90"/>
      <c r="Q73" s="2">
        <v>908</v>
      </c>
      <c r="R73" s="2">
        <v>488</v>
      </c>
      <c r="S73"/>
    </row>
    <row r="74" spans="1:19" s="61" customFormat="1" x14ac:dyDescent="0.35">
      <c r="A74" s="3"/>
      <c r="B74" s="56" t="s">
        <v>170</v>
      </c>
      <c r="C74" s="60">
        <v>200</v>
      </c>
      <c r="D74" s="60">
        <v>205.2</v>
      </c>
      <c r="E74" s="110">
        <f>Tabela_Fevereiro88[[#This Row],[Até:]]-Tabela_Fevereiro88[[#This Row],[De:]]</f>
        <v>5.1999999999999886</v>
      </c>
      <c r="F74" s="110"/>
      <c r="G74" s="110"/>
      <c r="H74" s="57" t="s">
        <v>89</v>
      </c>
      <c r="I74" s="60"/>
      <c r="J74" s="60"/>
      <c r="K74" s="105">
        <f>Tabela_Fevereiro88[[#This Row],[Até]]-Tabela_Fevereiro88[[#This Row],[De]]</f>
        <v>0</v>
      </c>
      <c r="L74" s="97">
        <v>0.39583333333333331</v>
      </c>
      <c r="M74" s="97">
        <v>0.48958333333333331</v>
      </c>
      <c r="N74" s="113">
        <f>Tabela_Fevereiro88[[#This Row],[Horário Término]]-Tabela_Fevereiro88[[#This Row],[Horário Inicio]]</f>
        <v>9.375E-2</v>
      </c>
      <c r="O74" s="90"/>
      <c r="P74" s="90"/>
      <c r="S74"/>
    </row>
    <row r="75" spans="1:19" s="61" customFormat="1" x14ac:dyDescent="0.35">
      <c r="A75" s="3"/>
      <c r="B75" s="56" t="s">
        <v>170</v>
      </c>
      <c r="C75" s="60">
        <v>205.2</v>
      </c>
      <c r="D75" s="60">
        <v>210.3</v>
      </c>
      <c r="E75" s="110">
        <f>Tabela_Fevereiro88[[#This Row],[Até:]]-Tabela_Fevereiro88[[#This Row],[De:]]</f>
        <v>5.1000000000000227</v>
      </c>
      <c r="F75" s="110"/>
      <c r="G75" s="110"/>
      <c r="H75" s="57" t="s">
        <v>89</v>
      </c>
      <c r="I75" s="60"/>
      <c r="J75" s="60"/>
      <c r="K75" s="105">
        <f>Tabela_Fevereiro88[[#This Row],[Até]]-Tabela_Fevereiro88[[#This Row],[De]]</f>
        <v>0</v>
      </c>
      <c r="L75" s="97">
        <v>0.53472222222222221</v>
      </c>
      <c r="M75" s="97">
        <v>0.63194444444444442</v>
      </c>
      <c r="N75" s="113">
        <f>Tabela_Fevereiro88[[#This Row],[Horário Término]]-Tabela_Fevereiro88[[#This Row],[Horário Inicio]]</f>
        <v>9.722222222222221E-2</v>
      </c>
      <c r="O75" s="90"/>
      <c r="P75" s="90"/>
      <c r="S75"/>
    </row>
    <row r="76" spans="1:19" s="61" customFormat="1" x14ac:dyDescent="0.35">
      <c r="A76" s="3"/>
      <c r="B76" s="56" t="s">
        <v>170</v>
      </c>
      <c r="C76" s="60">
        <v>210.3</v>
      </c>
      <c r="D76" s="60">
        <v>211</v>
      </c>
      <c r="E76" s="110">
        <f>Tabela_Fevereiro88[[#This Row],[Até:]]-Tabela_Fevereiro88[[#This Row],[De:]]</f>
        <v>0.69999999999998863</v>
      </c>
      <c r="F76" s="110"/>
      <c r="G76" s="110"/>
      <c r="H76" s="57" t="s">
        <v>89</v>
      </c>
      <c r="I76" s="60"/>
      <c r="J76" s="60"/>
      <c r="K76" s="105">
        <f>Tabela_Fevereiro88[[#This Row],[Até]]-Tabela_Fevereiro88[[#This Row],[De]]</f>
        <v>0</v>
      </c>
      <c r="L76" s="97">
        <v>0.6875</v>
      </c>
      <c r="M76" s="97">
        <v>0.69791666666666663</v>
      </c>
      <c r="N76" s="113">
        <f>Tabela_Fevereiro88[[#This Row],[Horário Término]]-Tabela_Fevereiro88[[#This Row],[Horário Inicio]]</f>
        <v>1.041666666666663E-2</v>
      </c>
      <c r="O76" s="90"/>
      <c r="P76" s="90"/>
      <c r="S76"/>
    </row>
    <row r="77" spans="1:19" s="61" customFormat="1" x14ac:dyDescent="0.35">
      <c r="A77" s="3">
        <v>46163</v>
      </c>
      <c r="B77" s="56"/>
      <c r="C77" s="60"/>
      <c r="D77" s="60"/>
      <c r="E77" s="110">
        <f>Tabela_Fevereiro88[[#This Row],[Até:]]-Tabela_Fevereiro88[[#This Row],[De:]]</f>
        <v>0</v>
      </c>
      <c r="F77" s="110"/>
      <c r="G77" s="110"/>
      <c r="H77" s="60"/>
      <c r="I77" s="60"/>
      <c r="J77" s="60"/>
      <c r="K77" s="105">
        <f>Tabela_Fevereiro88[[#This Row],[Até]]-Tabela_Fevereiro88[[#This Row],[De]]</f>
        <v>0</v>
      </c>
      <c r="L77" s="97"/>
      <c r="M77" s="97"/>
      <c r="N77" s="113">
        <f>Tabela_Fevereiro88[[#This Row],[Horário Término]]-Tabela_Fevereiro88[[#This Row],[Horário Inicio]]</f>
        <v>0</v>
      </c>
      <c r="O77" s="90"/>
      <c r="P77" s="90"/>
      <c r="Q77" s="2">
        <v>62</v>
      </c>
      <c r="R77" s="2"/>
      <c r="S77"/>
    </row>
    <row r="78" spans="1:19" s="61" customFormat="1" x14ac:dyDescent="0.35">
      <c r="A78" s="3">
        <v>46164</v>
      </c>
      <c r="B78" s="56"/>
      <c r="C78" s="60"/>
      <c r="D78" s="60"/>
      <c r="E78" s="110">
        <f>Tabela_Fevereiro88[[#This Row],[Até:]]-Tabela_Fevereiro88[[#This Row],[De:]]</f>
        <v>0</v>
      </c>
      <c r="F78" s="110"/>
      <c r="G78" s="110"/>
      <c r="H78" s="60"/>
      <c r="I78" s="60"/>
      <c r="J78" s="60"/>
      <c r="K78" s="105">
        <f>Tabela_Fevereiro88[[#This Row],[Até]]-Tabela_Fevereiro88[[#This Row],[De]]</f>
        <v>0</v>
      </c>
      <c r="L78" s="97"/>
      <c r="M78" s="97"/>
      <c r="N78" s="113">
        <f>Tabela_Fevereiro88[[#This Row],[Horário Término]]-Tabela_Fevereiro88[[#This Row],[Horário Inicio]]</f>
        <v>0</v>
      </c>
      <c r="O78" s="90"/>
      <c r="P78" s="90"/>
      <c r="R78" s="2">
        <v>97</v>
      </c>
      <c r="S78"/>
    </row>
    <row r="79" spans="1:19" s="61" customFormat="1" x14ac:dyDescent="0.35">
      <c r="A79" s="3"/>
      <c r="B79" s="56"/>
      <c r="C79" s="60"/>
      <c r="D79" s="60"/>
      <c r="E79" s="110">
        <f>Tabela_Fevereiro88[[#This Row],[Até:]]-Tabela_Fevereiro88[[#This Row],[De:]]</f>
        <v>0</v>
      </c>
      <c r="F79" s="110"/>
      <c r="G79" s="110"/>
      <c r="H79" s="60"/>
      <c r="I79" s="60"/>
      <c r="J79" s="60"/>
      <c r="K79" s="105">
        <f>Tabela_Fevereiro88[[#This Row],[Até]]-Tabela_Fevereiro88[[#This Row],[De]]</f>
        <v>0</v>
      </c>
      <c r="L79" s="97"/>
      <c r="M79" s="97"/>
      <c r="N79" s="113">
        <f>Tabela_Fevereiro88[[#This Row],[Horário Término]]-Tabela_Fevereiro88[[#This Row],[Horário Inicio]]</f>
        <v>0</v>
      </c>
      <c r="O79" s="90"/>
      <c r="P79" s="90"/>
      <c r="Q79" s="2"/>
      <c r="S79"/>
    </row>
    <row r="80" spans="1:19" s="61" customFormat="1" x14ac:dyDescent="0.35">
      <c r="A80" s="3">
        <v>46167</v>
      </c>
      <c r="B80" s="56"/>
      <c r="C80" s="60"/>
      <c r="D80" s="60"/>
      <c r="E80" s="110">
        <f>Tabela_Fevereiro88[[#This Row],[Até:]]-Tabela_Fevereiro88[[#This Row],[De:]]</f>
        <v>0</v>
      </c>
      <c r="F80" s="110"/>
      <c r="G80" s="110"/>
      <c r="H80" s="60"/>
      <c r="I80" s="60"/>
      <c r="J80" s="60"/>
      <c r="K80" s="105">
        <f>Tabela_Fevereiro88[[#This Row],[Até]]-Tabela_Fevereiro88[[#This Row],[De]]</f>
        <v>0</v>
      </c>
      <c r="L80" s="97"/>
      <c r="M80" s="97"/>
      <c r="N80" s="113">
        <f>Tabela_Fevereiro88[[#This Row],[Horário Término]]-Tabela_Fevereiro88[[#This Row],[Horário Inicio]]</f>
        <v>0</v>
      </c>
      <c r="O80" s="90"/>
      <c r="P80" s="90"/>
      <c r="Q80" s="2"/>
      <c r="R80" s="2">
        <v>638</v>
      </c>
      <c r="S80"/>
    </row>
    <row r="81" spans="1:19" s="220" customFormat="1" x14ac:dyDescent="0.35">
      <c r="A81" s="210">
        <v>46168</v>
      </c>
      <c r="B81" s="211" t="s">
        <v>221</v>
      </c>
      <c r="C81" s="212"/>
      <c r="D81" s="212"/>
      <c r="E81" s="213">
        <f>Tabela_Fevereiro88[[#This Row],[Até:]]-Tabela_Fevereiro88[[#This Row],[De:]]</f>
        <v>0</v>
      </c>
      <c r="F81" s="213"/>
      <c r="G81" s="213"/>
      <c r="H81" s="212" t="s">
        <v>211</v>
      </c>
      <c r="I81" s="212"/>
      <c r="J81" s="212"/>
      <c r="K81" s="214">
        <f>Tabela_Fevereiro88[[#This Row],[Até]]-Tabela_Fevereiro88[[#This Row],[De]]</f>
        <v>0</v>
      </c>
      <c r="L81" s="215"/>
      <c r="M81" s="215"/>
      <c r="N81" s="216">
        <f>Tabela_Fevereiro88[[#This Row],[Horário Término]]-Tabela_Fevereiro88[[#This Row],[Horário Inicio]]</f>
        <v>0</v>
      </c>
      <c r="O81" s="217"/>
      <c r="P81" s="217">
        <v>0.15972222222222221</v>
      </c>
      <c r="Q81" s="218"/>
      <c r="R81" s="218"/>
      <c r="S81" s="219"/>
    </row>
    <row r="82" spans="1:19" s="220" customFormat="1" x14ac:dyDescent="0.35">
      <c r="A82" s="210">
        <v>46200</v>
      </c>
      <c r="B82" s="211" t="s">
        <v>221</v>
      </c>
      <c r="C82" s="212"/>
      <c r="D82" s="212"/>
      <c r="E82" s="213">
        <f>Tabela_Fevereiro88[[#This Row],[Até:]]-Tabela_Fevereiro88[[#This Row],[De:]]</f>
        <v>0</v>
      </c>
      <c r="F82" s="213"/>
      <c r="G82" s="213"/>
      <c r="H82" s="212" t="s">
        <v>211</v>
      </c>
      <c r="I82" s="212"/>
      <c r="J82" s="212"/>
      <c r="K82" s="214">
        <f>Tabela_Fevereiro88[[#This Row],[Até]]-Tabela_Fevereiro88[[#This Row],[De]]</f>
        <v>0</v>
      </c>
      <c r="L82" s="215"/>
      <c r="M82" s="215"/>
      <c r="N82" s="216">
        <f>Tabela_Fevereiro88[[#This Row],[Horário Término]]-Tabela_Fevereiro88[[#This Row],[Horário Inicio]]</f>
        <v>0</v>
      </c>
      <c r="O82" s="217"/>
      <c r="P82" s="217">
        <v>0.27083333333333331</v>
      </c>
      <c r="Q82" s="218"/>
      <c r="R82" s="218"/>
      <c r="S82" s="219"/>
    </row>
    <row r="83" spans="1:19" s="220" customFormat="1" x14ac:dyDescent="0.35">
      <c r="A83" s="210">
        <v>46170</v>
      </c>
      <c r="B83" s="211" t="s">
        <v>221</v>
      </c>
      <c r="C83" s="212"/>
      <c r="D83" s="212"/>
      <c r="E83" s="213">
        <f>Tabela_Fevereiro88[[#This Row],[Até:]]-Tabela_Fevereiro88[[#This Row],[De:]]</f>
        <v>0</v>
      </c>
      <c r="F83" s="213"/>
      <c r="G83" s="213"/>
      <c r="H83" s="212" t="s">
        <v>211</v>
      </c>
      <c r="I83" s="212"/>
      <c r="J83" s="212"/>
      <c r="K83" s="214">
        <f>Tabela_Fevereiro88[[#This Row],[Até]]-Tabela_Fevereiro88[[#This Row],[De]]</f>
        <v>0</v>
      </c>
      <c r="L83" s="215"/>
      <c r="M83" s="215"/>
      <c r="N83" s="216">
        <f>Tabela_Fevereiro88[[#This Row],[Horário Término]]-Tabela_Fevereiro88[[#This Row],[Horário Inicio]]</f>
        <v>0</v>
      </c>
      <c r="O83" s="217"/>
      <c r="P83" s="217">
        <v>1</v>
      </c>
      <c r="Q83" s="218"/>
      <c r="R83" s="218">
        <v>120</v>
      </c>
      <c r="S83" s="219" t="s">
        <v>214</v>
      </c>
    </row>
    <row r="84" spans="1:19" s="220" customFormat="1" x14ac:dyDescent="0.35">
      <c r="A84" s="210">
        <v>46202</v>
      </c>
      <c r="B84" s="211" t="s">
        <v>221</v>
      </c>
      <c r="C84" s="212"/>
      <c r="D84" s="212"/>
      <c r="E84" s="213">
        <f>Tabela_Fevereiro88[[#This Row],[Até:]]-Tabela_Fevereiro88[[#This Row],[De:]]</f>
        <v>0</v>
      </c>
      <c r="F84" s="213"/>
      <c r="G84" s="213"/>
      <c r="H84" s="212" t="s">
        <v>211</v>
      </c>
      <c r="I84" s="212"/>
      <c r="J84" s="212"/>
      <c r="K84" s="214">
        <f>Tabela_Fevereiro88[[#This Row],[Até]]-Tabela_Fevereiro88[[#This Row],[De]]</f>
        <v>0</v>
      </c>
      <c r="L84" s="215"/>
      <c r="M84" s="215"/>
      <c r="N84" s="216">
        <f>Tabela_Fevereiro88[[#This Row],[Horário Término]]-Tabela_Fevereiro88[[#This Row],[Horário Inicio]]</f>
        <v>0</v>
      </c>
      <c r="O84" s="217"/>
      <c r="P84" s="217">
        <v>0.73958333333333337</v>
      </c>
      <c r="Q84" s="218"/>
      <c r="R84" s="218">
        <v>237</v>
      </c>
      <c r="S84" s="219" t="s">
        <v>141</v>
      </c>
    </row>
    <row r="85" spans="1:19" s="61" customFormat="1" x14ac:dyDescent="0.35">
      <c r="A85" s="3">
        <v>46172</v>
      </c>
      <c r="B85" s="56" t="s">
        <v>221</v>
      </c>
      <c r="C85" s="60"/>
      <c r="D85" s="60"/>
      <c r="E85" s="110">
        <f>Tabela_Fevereiro88[[#This Row],[Até:]]-Tabela_Fevereiro88[[#This Row],[De:]]</f>
        <v>0</v>
      </c>
      <c r="F85" s="110"/>
      <c r="G85" s="110"/>
      <c r="H85" s="60" t="s">
        <v>211</v>
      </c>
      <c r="I85" s="60"/>
      <c r="J85" s="60"/>
      <c r="K85" s="105">
        <f>Tabela_Fevereiro88[[#This Row],[Até]]-Tabela_Fevereiro88[[#This Row],[De]]</f>
        <v>0</v>
      </c>
      <c r="L85" s="97"/>
      <c r="M85" s="97"/>
      <c r="N85" s="113">
        <f>Tabela_Fevereiro88[[#This Row],[Horário Término]]-Tabela_Fevereiro88[[#This Row],[Horário Inicio]]</f>
        <v>0</v>
      </c>
      <c r="O85" s="90"/>
      <c r="P85" s="90">
        <v>0.86458333333333337</v>
      </c>
      <c r="Q85" s="2"/>
      <c r="R85" s="2">
        <v>160</v>
      </c>
      <c r="S85"/>
    </row>
    <row r="86" spans="1:19" s="61" customFormat="1" x14ac:dyDescent="0.35">
      <c r="B86" s="56" t="s">
        <v>221</v>
      </c>
      <c r="C86" s="60">
        <v>211</v>
      </c>
      <c r="D86" s="60">
        <v>213</v>
      </c>
      <c r="E86" s="110">
        <f>Tabela_Fevereiro88[[#This Row],[Até:]]-Tabela_Fevereiro88[[#This Row],[De:]]</f>
        <v>2</v>
      </c>
      <c r="F86" s="110">
        <v>47</v>
      </c>
      <c r="G86" s="110">
        <v>10</v>
      </c>
      <c r="H86" s="60" t="s">
        <v>89</v>
      </c>
      <c r="I86" s="60"/>
      <c r="J86" s="60"/>
      <c r="K86" s="105">
        <f>Tabela_Fevereiro88[[#This Row],[Até]]-Tabela_Fevereiro88[[#This Row],[De]]</f>
        <v>0</v>
      </c>
      <c r="L86" s="97">
        <v>1.15625</v>
      </c>
      <c r="M86" s="97">
        <v>1.2604166666666667</v>
      </c>
      <c r="N86" s="113">
        <f>Tabela_Fevereiro88[[#This Row],[Horário Término]]-Tabela_Fevereiro88[[#This Row],[Horário Inicio]]</f>
        <v>0.10416666666666674</v>
      </c>
      <c r="O86" s="90"/>
      <c r="P86" s="90"/>
      <c r="Q86" s="2"/>
      <c r="R86" s="61">
        <v>386</v>
      </c>
      <c r="S86"/>
    </row>
    <row r="87" spans="1:19" s="61" customFormat="1" x14ac:dyDescent="0.35">
      <c r="A87" s="3"/>
      <c r="B87" s="56" t="s">
        <v>221</v>
      </c>
      <c r="C87" s="60">
        <v>213</v>
      </c>
      <c r="D87" s="60">
        <v>214</v>
      </c>
      <c r="E87" s="110">
        <f>Tabela_Fevereiro88[[#This Row],[Até:]]-Tabela_Fevereiro88[[#This Row],[De:]]</f>
        <v>1</v>
      </c>
      <c r="F87" s="110"/>
      <c r="G87" s="110"/>
      <c r="H87" s="60" t="s">
        <v>89</v>
      </c>
      <c r="I87" s="60"/>
      <c r="J87" s="60"/>
      <c r="K87" s="105">
        <f>Tabela_Fevereiro88[[#This Row],[Até]]-Tabela_Fevereiro88[[#This Row],[De]]</f>
        <v>0</v>
      </c>
      <c r="L87" s="97">
        <v>0.26041666666666669</v>
      </c>
      <c r="M87" s="97">
        <v>0.31944444444444442</v>
      </c>
      <c r="N87" s="113">
        <f>Tabela_Fevereiro88[[#This Row],[Horário Término]]-Tabela_Fevereiro88[[#This Row],[Horário Inicio]]</f>
        <v>5.9027777777777735E-2</v>
      </c>
      <c r="O87" s="90"/>
      <c r="P87" s="90"/>
      <c r="Q87" s="2"/>
      <c r="R87" s="2"/>
      <c r="S87"/>
    </row>
    <row r="88" spans="1:19" s="61" customFormat="1" x14ac:dyDescent="0.35">
      <c r="A88" s="3">
        <v>46173</v>
      </c>
      <c r="B88" s="56" t="s">
        <v>221</v>
      </c>
      <c r="C88" s="60">
        <v>214</v>
      </c>
      <c r="D88" s="60">
        <v>221</v>
      </c>
      <c r="E88" s="110">
        <f>Tabela_Fevereiro88[[#This Row],[Até:]]-Tabela_Fevereiro88[[#This Row],[De:]]</f>
        <v>7</v>
      </c>
      <c r="F88" s="110">
        <v>47</v>
      </c>
      <c r="G88" s="110">
        <v>10</v>
      </c>
      <c r="H88" s="60" t="s">
        <v>89</v>
      </c>
      <c r="I88" s="60"/>
      <c r="J88" s="60"/>
      <c r="K88" s="105">
        <f>Tabela_Fevereiro88[[#This Row],[Até]]-Tabela_Fevereiro88[[#This Row],[De]]</f>
        <v>0</v>
      </c>
      <c r="L88" s="97">
        <v>0.31944444444444442</v>
      </c>
      <c r="M88" s="97">
        <v>0.73611111111111116</v>
      </c>
      <c r="N88" s="113">
        <f>Tabela_Fevereiro88[[#This Row],[Horário Término]]-Tabela_Fevereiro88[[#This Row],[Horário Inicio]]</f>
        <v>0.41666666666666674</v>
      </c>
      <c r="O88" s="90"/>
      <c r="P88" s="90"/>
      <c r="Q88" s="2"/>
      <c r="R88" s="2">
        <v>259</v>
      </c>
      <c r="S88"/>
    </row>
    <row r="89" spans="1:19" s="61" customFormat="1" x14ac:dyDescent="0.35">
      <c r="B89" s="56" t="s">
        <v>221</v>
      </c>
      <c r="C89" s="60">
        <v>221</v>
      </c>
      <c r="D89" s="60">
        <v>222</v>
      </c>
      <c r="E89" s="110">
        <f>Tabela_Fevereiro88[[#This Row],[Até:]]-Tabela_Fevereiro88[[#This Row],[De:]]</f>
        <v>1</v>
      </c>
      <c r="F89" s="110">
        <v>49</v>
      </c>
      <c r="G89" s="110">
        <v>9</v>
      </c>
      <c r="H89" s="60" t="s">
        <v>89</v>
      </c>
      <c r="I89" s="60"/>
      <c r="J89" s="60"/>
      <c r="K89" s="105">
        <f>Tabela_Fevereiro88[[#This Row],[Até]]-Tabela_Fevereiro88[[#This Row],[De]]</f>
        <v>0</v>
      </c>
      <c r="L89" s="97">
        <v>0.75694444444444442</v>
      </c>
      <c r="M89" s="97">
        <v>0.78472222222222221</v>
      </c>
      <c r="N89" s="113">
        <f>Tabela_Fevereiro88[[#This Row],[Horário Término]]-Tabela_Fevereiro88[[#This Row],[Horário Inicio]]</f>
        <v>2.777777777777779E-2</v>
      </c>
      <c r="O89" s="90"/>
      <c r="P89" s="90"/>
      <c r="Q89" s="2"/>
      <c r="R89" s="2">
        <v>194</v>
      </c>
      <c r="S89"/>
    </row>
    <row r="90" spans="1:19" s="61" customFormat="1" x14ac:dyDescent="0.35">
      <c r="A90" s="3"/>
      <c r="B90" s="56" t="s">
        <v>221</v>
      </c>
      <c r="C90" s="60">
        <v>222</v>
      </c>
      <c r="D90" s="60">
        <v>230.54</v>
      </c>
      <c r="E90" s="110">
        <f>Tabela_Fevereiro88[[#This Row],[Até:]]-Tabela_Fevereiro88[[#This Row],[De:]]</f>
        <v>8.539999999999992</v>
      </c>
      <c r="F90" s="110"/>
      <c r="G90" s="110"/>
      <c r="H90" s="60" t="s">
        <v>89</v>
      </c>
      <c r="I90" s="60"/>
      <c r="J90" s="60"/>
      <c r="K90" s="105">
        <f>Tabela_Fevereiro88[[#This Row],[Até]]-Tabela_Fevereiro88[[#This Row],[De]]</f>
        <v>0</v>
      </c>
      <c r="L90" s="97">
        <v>0.78472222222222221</v>
      </c>
      <c r="M90" s="97">
        <v>1.0069444444444444</v>
      </c>
      <c r="N90" s="113">
        <f>Tabela_Fevereiro88[[#This Row],[Horário Término]]-Tabela_Fevereiro88[[#This Row],[Horário Inicio]]</f>
        <v>0.22222222222222221</v>
      </c>
      <c r="O90" s="90"/>
      <c r="P90" s="90"/>
      <c r="Q90" s="2"/>
      <c r="R90" s="2"/>
      <c r="S90"/>
    </row>
    <row r="91" spans="1:19" s="61" customFormat="1" x14ac:dyDescent="0.35">
      <c r="A91" s="3"/>
      <c r="B91" s="56" t="s">
        <v>221</v>
      </c>
      <c r="C91" s="60">
        <v>230.54</v>
      </c>
      <c r="D91" s="60">
        <v>240.2</v>
      </c>
      <c r="E91" s="110">
        <f>Tabela_Fevereiro88[[#This Row],[Até:]]-Tabela_Fevereiro88[[#This Row],[De:]]</f>
        <v>9.6599999999999966</v>
      </c>
      <c r="F91" s="110">
        <v>48</v>
      </c>
      <c r="G91" s="110">
        <v>9</v>
      </c>
      <c r="H91" s="60" t="s">
        <v>89</v>
      </c>
      <c r="I91" s="60"/>
      <c r="J91" s="60"/>
      <c r="K91" s="105">
        <f>Tabela_Fevereiro88[[#This Row],[Até]]-Tabela_Fevereiro88[[#This Row],[De]]</f>
        <v>0</v>
      </c>
      <c r="L91" s="97">
        <v>1.0347222222222223</v>
      </c>
      <c r="M91" s="97">
        <v>1.3090277777777777</v>
      </c>
      <c r="N91" s="113">
        <f>Tabela_Fevereiro88[[#This Row],[Horário Término]]-Tabela_Fevereiro88[[#This Row],[Horário Inicio]]</f>
        <v>0.27430555555555536</v>
      </c>
      <c r="O91" s="90"/>
      <c r="P91" s="90"/>
      <c r="Q91" s="2"/>
      <c r="R91" s="2"/>
      <c r="S91"/>
    </row>
    <row r="92" spans="1:19" s="61" customFormat="1" x14ac:dyDescent="0.35">
      <c r="A92" s="3">
        <v>46174</v>
      </c>
      <c r="B92" s="56" t="s">
        <v>221</v>
      </c>
      <c r="C92" s="60">
        <v>240.2</v>
      </c>
      <c r="D92" s="60">
        <v>243.2</v>
      </c>
      <c r="E92" s="110">
        <f>Tabela_Fevereiro88[[#This Row],[Até:]]-Tabela_Fevereiro88[[#This Row],[De:]]</f>
        <v>3</v>
      </c>
      <c r="F92" s="110"/>
      <c r="G92" s="110"/>
      <c r="H92" s="60" t="s">
        <v>89</v>
      </c>
      <c r="I92" s="60"/>
      <c r="J92" s="60"/>
      <c r="K92" s="105">
        <f>Tabela_Fevereiro88[[#This Row],[Até]]-Tabela_Fevereiro88[[#This Row],[De]]</f>
        <v>0</v>
      </c>
      <c r="L92" s="97">
        <v>0.33333333333333331</v>
      </c>
      <c r="M92" s="97">
        <v>0.43055555555555558</v>
      </c>
      <c r="N92" s="113">
        <f>Tabela_Fevereiro88[[#This Row],[Horário Término]]-Tabela_Fevereiro88[[#This Row],[Horário Inicio]]</f>
        <v>9.7222222222222265E-2</v>
      </c>
      <c r="O92" s="90"/>
      <c r="P92" s="90"/>
      <c r="Q92" s="2"/>
      <c r="R92" s="2">
        <v>318</v>
      </c>
      <c r="S92"/>
    </row>
    <row r="93" spans="1:19" s="61" customFormat="1" x14ac:dyDescent="0.35">
      <c r="A93" s="3"/>
      <c r="B93" s="56" t="s">
        <v>221</v>
      </c>
      <c r="C93" s="60">
        <v>243.2</v>
      </c>
      <c r="D93" s="60">
        <v>249.87</v>
      </c>
      <c r="E93" s="110">
        <f>Tabela_Fevereiro88[[#This Row],[Até:]]-Tabela_Fevereiro88[[#This Row],[De:]]</f>
        <v>6.6700000000000159</v>
      </c>
      <c r="F93" s="110"/>
      <c r="G93" s="110"/>
      <c r="H93" s="60" t="s">
        <v>89</v>
      </c>
      <c r="I93" s="60"/>
      <c r="J93" s="60"/>
      <c r="K93" s="105">
        <f>Tabela_Fevereiro88[[#This Row],[Até]]-Tabela_Fevereiro88[[#This Row],[De]]</f>
        <v>0</v>
      </c>
      <c r="L93" s="97">
        <v>0.54513888888888884</v>
      </c>
      <c r="M93" s="97">
        <v>0.79861111111111116</v>
      </c>
      <c r="N93" s="113">
        <f>Tabela_Fevereiro88[[#This Row],[Horário Término]]-Tabela_Fevereiro88[[#This Row],[Horário Inicio]]</f>
        <v>0.25347222222222232</v>
      </c>
      <c r="O93" s="90"/>
      <c r="P93" s="90"/>
      <c r="Q93" s="2"/>
      <c r="R93" s="2"/>
      <c r="S93"/>
    </row>
    <row r="94" spans="1:19" s="61" customFormat="1" x14ac:dyDescent="0.35">
      <c r="A94" s="3"/>
      <c r="B94" s="56" t="s">
        <v>221</v>
      </c>
      <c r="C94" s="60">
        <v>249.87</v>
      </c>
      <c r="D94" s="60">
        <v>254</v>
      </c>
      <c r="E94" s="110">
        <f>Tabela_Fevereiro88[[#This Row],[Até:]]-Tabela_Fevereiro88[[#This Row],[De:]]</f>
        <v>4.1299999999999955</v>
      </c>
      <c r="F94" s="110"/>
      <c r="G94" s="110"/>
      <c r="H94" s="60" t="s">
        <v>89</v>
      </c>
      <c r="I94" s="60"/>
      <c r="J94" s="60"/>
      <c r="K94" s="105">
        <f>Tabela_Fevereiro88[[#This Row],[Até]]-Tabela_Fevereiro88[[#This Row],[De]]</f>
        <v>0</v>
      </c>
      <c r="L94" s="97">
        <v>0.83333333333333337</v>
      </c>
      <c r="M94" s="97">
        <v>1.0208333333333333</v>
      </c>
      <c r="N94" s="113">
        <f>Tabela_Fevereiro88[[#This Row],[Horário Término]]-Tabela_Fevereiro88[[#This Row],[Horário Inicio]]</f>
        <v>0.18749999999999989</v>
      </c>
      <c r="O94" s="90"/>
      <c r="P94" s="90"/>
      <c r="Q94" s="2"/>
      <c r="R94" s="2"/>
      <c r="S94"/>
    </row>
    <row r="95" spans="1:19" s="61" customFormat="1" x14ac:dyDescent="0.35">
      <c r="A95" s="3">
        <v>46175</v>
      </c>
      <c r="B95" s="56" t="s">
        <v>221</v>
      </c>
      <c r="C95" s="60">
        <v>254</v>
      </c>
      <c r="D95" s="60">
        <v>259.47000000000003</v>
      </c>
      <c r="E95" s="110">
        <f>Tabela_Fevereiro88[[#This Row],[Até:]]-Tabela_Fevereiro88[[#This Row],[De:]]</f>
        <v>5.4700000000000273</v>
      </c>
      <c r="F95" s="110"/>
      <c r="G95" s="110"/>
      <c r="H95" s="60" t="s">
        <v>89</v>
      </c>
      <c r="I95" s="60"/>
      <c r="J95" s="60"/>
      <c r="K95" s="105">
        <f>Tabela_Fevereiro88[[#This Row],[Até]]-Tabela_Fevereiro88[[#This Row],[De]]</f>
        <v>0</v>
      </c>
      <c r="L95" s="97">
        <v>1.0208333333333333</v>
      </c>
      <c r="M95" s="97">
        <v>1.2881944444444444</v>
      </c>
      <c r="N95" s="113">
        <f>Tabela_Fevereiro88[[#This Row],[Horário Término]]-Tabela_Fevereiro88[[#This Row],[Horário Inicio]]</f>
        <v>0.26736111111111116</v>
      </c>
      <c r="O95" s="90"/>
      <c r="P95" s="90"/>
      <c r="Q95" s="2"/>
      <c r="R95" s="2"/>
      <c r="S95"/>
    </row>
    <row r="96" spans="1:19" s="61" customFormat="1" x14ac:dyDescent="0.35">
      <c r="A96" s="3"/>
      <c r="B96" s="56" t="s">
        <v>221</v>
      </c>
      <c r="C96" s="60">
        <v>259.47000000000003</v>
      </c>
      <c r="D96" s="60">
        <v>269</v>
      </c>
      <c r="E96" s="110">
        <f>Tabela_Fevereiro88[[#This Row],[Até:]]-Tabela_Fevereiro88[[#This Row],[De:]]</f>
        <v>9.5299999999999727</v>
      </c>
      <c r="F96" s="110"/>
      <c r="G96" s="110"/>
      <c r="H96" s="60" t="s">
        <v>89</v>
      </c>
      <c r="I96" s="60"/>
      <c r="J96" s="60"/>
      <c r="K96" s="105">
        <f>Tabela_Fevereiro88[[#This Row],[Até]]-Tabela_Fevereiro88[[#This Row],[De]]</f>
        <v>0</v>
      </c>
      <c r="L96" s="97">
        <v>0.31597222222222221</v>
      </c>
      <c r="M96" s="97">
        <v>0.59722222222222221</v>
      </c>
      <c r="N96" s="113">
        <f>Tabela_Fevereiro88[[#This Row],[Horário Término]]-Tabela_Fevereiro88[[#This Row],[Horário Inicio]]</f>
        <v>0.28125</v>
      </c>
      <c r="O96" s="90"/>
      <c r="P96" s="90"/>
      <c r="Q96" s="2"/>
      <c r="R96" s="2"/>
      <c r="S96"/>
    </row>
    <row r="97" spans="1:19" s="61" customFormat="1" x14ac:dyDescent="0.35">
      <c r="A97" s="3"/>
      <c r="B97" s="56"/>
      <c r="C97" s="60">
        <v>269</v>
      </c>
      <c r="D97" s="60">
        <v>278.66000000000003</v>
      </c>
      <c r="E97" s="110">
        <f>Tabela_Fevereiro88[[#This Row],[Até:]]-Tabela_Fevereiro88[[#This Row],[De:]]</f>
        <v>9.660000000000025</v>
      </c>
      <c r="F97" s="110"/>
      <c r="G97" s="110"/>
      <c r="H97" s="60" t="s">
        <v>89</v>
      </c>
      <c r="I97" s="60"/>
      <c r="J97" s="60"/>
      <c r="K97" s="105">
        <f>Tabela_Fevereiro88[[#This Row],[Até]]-Tabela_Fevereiro88[[#This Row],[De]]</f>
        <v>0</v>
      </c>
      <c r="L97" s="97">
        <v>0.62152777777777779</v>
      </c>
      <c r="M97" s="97">
        <v>1.0243055555555556</v>
      </c>
      <c r="N97" s="113">
        <f>Tabela_Fevereiro88[[#This Row],[Horário Término]]-Tabela_Fevereiro88[[#This Row],[Horário Inicio]]</f>
        <v>0.40277777777777779</v>
      </c>
      <c r="O97" s="90"/>
      <c r="P97" s="90"/>
      <c r="Q97" s="2"/>
      <c r="R97" s="2"/>
      <c r="S97"/>
    </row>
    <row r="98" spans="1:19" s="61" customFormat="1" x14ac:dyDescent="0.35">
      <c r="A98" s="3">
        <v>46176</v>
      </c>
      <c r="B98" s="56"/>
      <c r="C98" s="60">
        <v>278.66000000000003</v>
      </c>
      <c r="D98" s="60">
        <v>279.3</v>
      </c>
      <c r="E98" s="110">
        <f>Tabela_Fevereiro88[[#This Row],[Até:]]-Tabela_Fevereiro88[[#This Row],[De:]]</f>
        <v>0.63999999999998636</v>
      </c>
      <c r="F98" s="110"/>
      <c r="G98" s="110"/>
      <c r="H98" s="60" t="s">
        <v>89</v>
      </c>
      <c r="I98" s="60"/>
      <c r="J98" s="60"/>
      <c r="K98" s="105">
        <f>Tabela_Fevereiro88[[#This Row],[Até]]-Tabela_Fevereiro88[[#This Row],[De]]</f>
        <v>0</v>
      </c>
      <c r="L98" s="97">
        <v>6.5972222222222224E-2</v>
      </c>
      <c r="M98" s="97">
        <v>9.0277777777777776E-2</v>
      </c>
      <c r="N98" s="113">
        <f>Tabela_Fevereiro88[[#This Row],[Horário Término]]-Tabela_Fevereiro88[[#This Row],[Horário Inicio]]</f>
        <v>2.4305555555555552E-2</v>
      </c>
      <c r="O98" s="90"/>
      <c r="P98" s="90"/>
      <c r="Q98" s="2"/>
      <c r="R98" s="2"/>
      <c r="S98"/>
    </row>
    <row r="99" spans="1:19" s="61" customFormat="1" x14ac:dyDescent="0.35">
      <c r="A99" s="3"/>
      <c r="B99" s="56"/>
      <c r="C99" s="60">
        <v>279.3</v>
      </c>
      <c r="D99" s="60">
        <v>279.8</v>
      </c>
      <c r="E99" s="110">
        <f>Tabela_Fevereiro88[[#This Row],[Até:]]-Tabela_Fevereiro88[[#This Row],[De:]]</f>
        <v>0.5</v>
      </c>
      <c r="F99" s="110"/>
      <c r="G99" s="110"/>
      <c r="H99" s="60" t="s">
        <v>89</v>
      </c>
      <c r="I99" s="60"/>
      <c r="J99" s="60"/>
      <c r="K99" s="105">
        <f>Tabela_Fevereiro88[[#This Row],[Até]]-Tabela_Fevereiro88[[#This Row],[De]]</f>
        <v>0</v>
      </c>
      <c r="L99" s="97">
        <v>0.10416666666666667</v>
      </c>
      <c r="M99" s="97">
        <v>0.18055555555555555</v>
      </c>
      <c r="N99" s="113">
        <f>Tabela_Fevereiro88[[#This Row],[Horário Término]]-Tabela_Fevereiro88[[#This Row],[Horário Inicio]]</f>
        <v>7.6388888888888881E-2</v>
      </c>
      <c r="O99" s="90"/>
      <c r="P99" s="90"/>
      <c r="Q99" s="2"/>
      <c r="R99" s="2"/>
      <c r="S99"/>
    </row>
    <row r="100" spans="1:19" s="61" customFormat="1" x14ac:dyDescent="0.35">
      <c r="A100" s="3"/>
      <c r="B100" s="56"/>
      <c r="C100" s="60">
        <v>279.8</v>
      </c>
      <c r="D100" s="60">
        <v>286</v>
      </c>
      <c r="E100" s="110">
        <f>Tabela_Fevereiro88[[#This Row],[Até:]]-Tabela_Fevereiro88[[#This Row],[De:]]</f>
        <v>6.1999999999999886</v>
      </c>
      <c r="F100" s="110"/>
      <c r="G100" s="110"/>
      <c r="H100" s="60" t="s">
        <v>89</v>
      </c>
      <c r="I100" s="60"/>
      <c r="J100" s="60"/>
      <c r="K100" s="105">
        <f>Tabela_Fevereiro88[[#This Row],[Até]]-Tabela_Fevereiro88[[#This Row],[De]]</f>
        <v>0</v>
      </c>
      <c r="L100" s="97">
        <v>0.19097222222222221</v>
      </c>
      <c r="M100" s="97">
        <v>0.69444444444444442</v>
      </c>
      <c r="N100" s="113">
        <f>Tabela_Fevereiro88[[#This Row],[Horário Término]]-Tabela_Fevereiro88[[#This Row],[Horário Inicio]]</f>
        <v>0.50347222222222221</v>
      </c>
      <c r="O100" s="90"/>
      <c r="P100" s="90"/>
      <c r="Q100" s="2"/>
      <c r="R100" s="2"/>
      <c r="S100"/>
    </row>
    <row r="101" spans="1:19" s="61" customFormat="1" x14ac:dyDescent="0.35">
      <c r="A101" s="3"/>
      <c r="B101" s="56"/>
      <c r="C101" s="60">
        <v>286</v>
      </c>
      <c r="D101" s="60">
        <v>288.39999999999998</v>
      </c>
      <c r="E101" s="110">
        <f>Tabela_Fevereiro88[[#This Row],[Até:]]-Tabela_Fevereiro88[[#This Row],[De:]]</f>
        <v>2.3999999999999773</v>
      </c>
      <c r="F101" s="110"/>
      <c r="G101" s="110"/>
      <c r="H101" s="60" t="s">
        <v>89</v>
      </c>
      <c r="I101" s="60"/>
      <c r="J101" s="60"/>
      <c r="K101" s="105">
        <f>Tabela_Fevereiro88[[#This Row],[Até]]-Tabela_Fevereiro88[[#This Row],[De]]</f>
        <v>0</v>
      </c>
      <c r="L101" s="97">
        <v>0.69444444444444442</v>
      </c>
      <c r="M101" s="97">
        <v>0.95486111111111116</v>
      </c>
      <c r="N101" s="113">
        <f>Tabela_Fevereiro88[[#This Row],[Horário Término]]-Tabela_Fevereiro88[[#This Row],[Horário Inicio]]</f>
        <v>0.26041666666666674</v>
      </c>
      <c r="O101" s="90"/>
      <c r="P101" s="90"/>
      <c r="Q101" s="2"/>
      <c r="R101" s="2"/>
      <c r="S101"/>
    </row>
    <row r="102" spans="1:19" s="61" customFormat="1" x14ac:dyDescent="0.35">
      <c r="A102" s="3">
        <v>46177</v>
      </c>
      <c r="B102" s="56"/>
      <c r="C102" s="60">
        <v>288.39999999999998</v>
      </c>
      <c r="D102" s="60">
        <v>291</v>
      </c>
      <c r="E102" s="110">
        <f>Tabela_Fevereiro88[[#This Row],[Até:]]-Tabela_Fevereiro88[[#This Row],[De:]]</f>
        <v>2.6000000000000227</v>
      </c>
      <c r="F102" s="110">
        <v>49</v>
      </c>
      <c r="G102" s="110">
        <v>9</v>
      </c>
      <c r="H102" s="60" t="s">
        <v>89</v>
      </c>
      <c r="I102" s="60"/>
      <c r="J102" s="60"/>
      <c r="K102" s="105">
        <f>Tabela_Fevereiro88[[#This Row],[Até]]-Tabela_Fevereiro88[[#This Row],[De]]</f>
        <v>0</v>
      </c>
      <c r="L102" s="97">
        <v>0.95486111111111116</v>
      </c>
      <c r="M102" s="97">
        <v>1.2291666666666667</v>
      </c>
      <c r="N102" s="113">
        <f>Tabela_Fevereiro88[[#This Row],[Horário Término]]-Tabela_Fevereiro88[[#This Row],[Horário Inicio]]</f>
        <v>0.27430555555555558</v>
      </c>
      <c r="O102" s="90"/>
      <c r="P102" s="90"/>
      <c r="Q102" s="2"/>
      <c r="R102" s="2"/>
      <c r="S102"/>
    </row>
    <row r="103" spans="1:19" s="61" customFormat="1" x14ac:dyDescent="0.35">
      <c r="A103" s="3"/>
      <c r="B103" s="56"/>
      <c r="C103" s="60">
        <v>291</v>
      </c>
      <c r="D103" s="60">
        <v>298</v>
      </c>
      <c r="E103" s="110">
        <f>Tabela_Fevereiro88[[#This Row],[Até:]]-Tabela_Fevereiro88[[#This Row],[De:]]</f>
        <v>7</v>
      </c>
      <c r="F103" s="110"/>
      <c r="G103" s="110"/>
      <c r="H103" s="60" t="s">
        <v>89</v>
      </c>
      <c r="I103" s="60"/>
      <c r="J103" s="60"/>
      <c r="K103" s="105">
        <f>Tabela_Fevereiro88[[#This Row],[Até]]-Tabela_Fevereiro88[[#This Row],[De]]</f>
        <v>0</v>
      </c>
      <c r="L103" s="97">
        <v>0.22916666666666666</v>
      </c>
      <c r="M103" s="97">
        <v>0.9375</v>
      </c>
      <c r="N103" s="113">
        <f>Tabela_Fevereiro88[[#This Row],[Horário Término]]-Tabela_Fevereiro88[[#This Row],[Horário Inicio]]</f>
        <v>0.70833333333333337</v>
      </c>
      <c r="O103" s="90"/>
      <c r="P103" s="90"/>
      <c r="Q103" s="2"/>
      <c r="R103" s="2"/>
      <c r="S103"/>
    </row>
    <row r="104" spans="1:19" s="61" customFormat="1" x14ac:dyDescent="0.35">
      <c r="A104" s="3">
        <v>46178</v>
      </c>
      <c r="B104" s="56"/>
      <c r="C104" s="60">
        <v>298</v>
      </c>
      <c r="D104" s="60">
        <v>307.74</v>
      </c>
      <c r="E104" s="110">
        <f>Tabela_Fevereiro88[[#This Row],[Até:]]-Tabela_Fevereiro88[[#This Row],[De:]]</f>
        <v>9.7400000000000091</v>
      </c>
      <c r="F104" s="110"/>
      <c r="G104" s="110"/>
      <c r="H104" s="60" t="s">
        <v>89</v>
      </c>
      <c r="I104" s="60"/>
      <c r="J104" s="60"/>
      <c r="K104" s="105">
        <f>Tabela_Fevereiro88[[#This Row],[Até]]-Tabela_Fevereiro88[[#This Row],[De]]</f>
        <v>0</v>
      </c>
      <c r="L104" s="97">
        <v>0.95486111111111116</v>
      </c>
      <c r="M104" s="97">
        <v>1.4722222222222223</v>
      </c>
      <c r="N104" s="113">
        <f>Tabela_Fevereiro88[[#This Row],[Horário Término]]-Tabela_Fevereiro88[[#This Row],[Horário Inicio]]</f>
        <v>0.51736111111111116</v>
      </c>
      <c r="O104" s="90"/>
      <c r="P104" s="90"/>
      <c r="Q104" s="2"/>
      <c r="R104" s="2"/>
      <c r="S104"/>
    </row>
    <row r="105" spans="1:19" s="61" customFormat="1" x14ac:dyDescent="0.35">
      <c r="A105" s="3"/>
      <c r="B105" s="56"/>
      <c r="C105" s="60">
        <v>307.44</v>
      </c>
      <c r="D105" s="60">
        <v>313</v>
      </c>
      <c r="E105" s="110">
        <f>Tabela_Fevereiro88[[#This Row],[Até:]]-Tabela_Fevereiro88[[#This Row],[De:]]</f>
        <v>5.5600000000000023</v>
      </c>
      <c r="F105" s="110">
        <v>51</v>
      </c>
      <c r="G105" s="110">
        <v>9</v>
      </c>
      <c r="H105" s="60" t="s">
        <v>89</v>
      </c>
      <c r="I105" s="60"/>
      <c r="J105" s="60"/>
      <c r="K105" s="105">
        <f>Tabela_Fevereiro88[[#This Row],[Até]]-Tabela_Fevereiro88[[#This Row],[De]]</f>
        <v>0</v>
      </c>
      <c r="L105" s="97">
        <v>0.5</v>
      </c>
      <c r="M105" s="97">
        <v>0.78125</v>
      </c>
      <c r="N105" s="113">
        <f>Tabela_Fevereiro88[[#This Row],[Horário Término]]-Tabela_Fevereiro88[[#This Row],[Horário Inicio]]</f>
        <v>0.28125</v>
      </c>
      <c r="O105" s="90"/>
      <c r="P105" s="90"/>
      <c r="Q105" s="2"/>
      <c r="R105" s="2"/>
      <c r="S105"/>
    </row>
    <row r="106" spans="1:19" s="61" customFormat="1" x14ac:dyDescent="0.35">
      <c r="A106" s="3"/>
      <c r="B106" s="56"/>
      <c r="C106" s="60">
        <v>313</v>
      </c>
      <c r="D106" s="60">
        <v>317</v>
      </c>
      <c r="E106" s="110">
        <f>Tabela_Fevereiro88[[#This Row],[Até:]]-Tabela_Fevereiro88[[#This Row],[De:]]</f>
        <v>4</v>
      </c>
      <c r="F106" s="110"/>
      <c r="G106" s="110"/>
      <c r="H106" s="60" t="s">
        <v>89</v>
      </c>
      <c r="I106" s="60"/>
      <c r="J106" s="60"/>
      <c r="K106" s="105">
        <f>Tabela_Fevereiro88[[#This Row],[Até]]-Tabela_Fevereiro88[[#This Row],[De]]</f>
        <v>0</v>
      </c>
      <c r="L106" s="97">
        <v>0.78125</v>
      </c>
      <c r="M106" s="97">
        <v>0.97569444444444442</v>
      </c>
      <c r="N106" s="113">
        <f>Tabela_Fevereiro88[[#This Row],[Horário Término]]-Tabela_Fevereiro88[[#This Row],[Horário Inicio]]</f>
        <v>0.19444444444444442</v>
      </c>
      <c r="O106" s="90"/>
      <c r="P106" s="90"/>
      <c r="Q106" s="2"/>
      <c r="R106" s="2"/>
      <c r="S106"/>
    </row>
    <row r="107" spans="1:19" s="61" customFormat="1" x14ac:dyDescent="0.35">
      <c r="A107" s="3"/>
      <c r="B107" s="56"/>
      <c r="C107" s="60">
        <v>317</v>
      </c>
      <c r="D107" s="60">
        <v>324</v>
      </c>
      <c r="E107" s="110">
        <f>Tabela_Fevereiro88[[#This Row],[Até:]]-Tabela_Fevereiro88[[#This Row],[De:]]</f>
        <v>7</v>
      </c>
      <c r="F107" s="110">
        <v>55</v>
      </c>
      <c r="G107" s="110">
        <v>9</v>
      </c>
      <c r="H107" s="60"/>
      <c r="I107" s="60"/>
      <c r="J107" s="60"/>
      <c r="K107" s="105">
        <f>Tabela_Fevereiro88[[#This Row],[Até]]-Tabela_Fevereiro88[[#This Row],[De]]</f>
        <v>0</v>
      </c>
      <c r="L107" s="97">
        <v>0.99305555555555558</v>
      </c>
      <c r="M107" s="97">
        <v>1.2569444444444444</v>
      </c>
      <c r="N107" s="113">
        <f>Tabela_Fevereiro88[[#This Row],[Horário Término]]-Tabela_Fevereiro88[[#This Row],[Horário Inicio]]</f>
        <v>0.26388888888888884</v>
      </c>
      <c r="O107" s="90"/>
      <c r="P107" s="90"/>
      <c r="Q107" s="2"/>
      <c r="R107" s="2"/>
      <c r="S107"/>
    </row>
    <row r="108" spans="1:19" s="61" customFormat="1" x14ac:dyDescent="0.35">
      <c r="A108" s="3"/>
      <c r="B108" s="56"/>
      <c r="C108" s="60">
        <v>324</v>
      </c>
      <c r="D108" s="60">
        <v>326.66000000000003</v>
      </c>
      <c r="E108" s="110">
        <f>Tabela_Fevereiro88[[#This Row],[Até:]]-Tabela_Fevereiro88[[#This Row],[De:]]</f>
        <v>2.660000000000025</v>
      </c>
      <c r="F108" s="110"/>
      <c r="G108" s="110"/>
      <c r="H108" s="60" t="s">
        <v>89</v>
      </c>
      <c r="I108" s="60"/>
      <c r="J108" s="60"/>
      <c r="K108" s="105">
        <f>Tabela_Fevereiro88[[#This Row],[Até]]-Tabela_Fevereiro88[[#This Row],[De]]</f>
        <v>0</v>
      </c>
      <c r="L108" s="97">
        <v>0.25694444444444442</v>
      </c>
      <c r="M108" s="97">
        <v>0.53472222222222221</v>
      </c>
      <c r="N108" s="113">
        <f>Tabela_Fevereiro88[[#This Row],[Horário Término]]-Tabela_Fevereiro88[[#This Row],[Horário Inicio]]</f>
        <v>0.27777777777777779</v>
      </c>
      <c r="O108" s="90"/>
      <c r="P108" s="90"/>
      <c r="Q108" s="2"/>
      <c r="R108" s="2"/>
      <c r="S108" s="136"/>
    </row>
    <row r="109" spans="1:19" s="61" customFormat="1" x14ac:dyDescent="0.35">
      <c r="A109" s="3"/>
      <c r="B109" s="56"/>
      <c r="C109" s="60">
        <v>326.66000000000003</v>
      </c>
      <c r="D109" s="60">
        <v>329</v>
      </c>
      <c r="E109" s="110">
        <f>Tabela_Fevereiro88[[#This Row],[Até:]]-Tabela_Fevereiro88[[#This Row],[De:]]</f>
        <v>2.339999999999975</v>
      </c>
      <c r="F109" s="110"/>
      <c r="G109" s="110"/>
      <c r="H109" s="60" t="s">
        <v>89</v>
      </c>
      <c r="I109" s="60"/>
      <c r="J109" s="60"/>
      <c r="K109" s="105">
        <f>Tabela_Fevereiro88[[#This Row],[Até]]-Tabela_Fevereiro88[[#This Row],[De]]</f>
        <v>0</v>
      </c>
      <c r="L109" s="97">
        <v>0.56944444444444442</v>
      </c>
      <c r="M109" s="97">
        <v>0.76736111111111116</v>
      </c>
      <c r="N109" s="113">
        <f>Tabela_Fevereiro88[[#This Row],[Horário Término]]-Tabela_Fevereiro88[[#This Row],[Horário Inicio]]</f>
        <v>0.19791666666666674</v>
      </c>
      <c r="O109" s="90"/>
      <c r="P109" s="90"/>
      <c r="Q109" s="2"/>
      <c r="R109" s="2"/>
      <c r="S109"/>
    </row>
    <row r="110" spans="1:19" s="61" customFormat="1" x14ac:dyDescent="0.35">
      <c r="A110" s="3">
        <v>46179</v>
      </c>
      <c r="B110" s="56"/>
      <c r="C110" s="60">
        <v>329</v>
      </c>
      <c r="D110" s="60">
        <v>333</v>
      </c>
      <c r="E110" s="110">
        <f>Tabela_Fevereiro88[[#This Row],[Até:]]-Tabela_Fevereiro88[[#This Row],[De:]]</f>
        <v>4</v>
      </c>
      <c r="F110" s="110">
        <v>55</v>
      </c>
      <c r="G110" s="110">
        <v>9</v>
      </c>
      <c r="H110" s="60" t="s">
        <v>89</v>
      </c>
      <c r="I110" s="60"/>
      <c r="J110" s="60"/>
      <c r="K110" s="105">
        <f>Tabela_Fevereiro88[[#This Row],[Até]]-Tabela_Fevereiro88[[#This Row],[De]]</f>
        <v>0</v>
      </c>
      <c r="L110" s="97">
        <v>0.76736111111111116</v>
      </c>
      <c r="M110" s="97">
        <v>0.95833333333333337</v>
      </c>
      <c r="N110" s="113">
        <f>Tabela_Fevereiro88[[#This Row],[Horário Término]]-Tabela_Fevereiro88[[#This Row],[Horário Inicio]]</f>
        <v>0.19097222222222221</v>
      </c>
      <c r="O110" s="90"/>
      <c r="P110" s="90"/>
      <c r="Q110" s="2"/>
      <c r="R110" s="2"/>
      <c r="S110"/>
    </row>
    <row r="111" spans="1:19" s="61" customFormat="1" x14ac:dyDescent="0.35">
      <c r="A111" s="3"/>
      <c r="B111" s="56"/>
      <c r="C111" s="60">
        <v>333</v>
      </c>
      <c r="D111" s="60">
        <v>336.3</v>
      </c>
      <c r="E111" s="110">
        <f>Tabela_Fevereiro88[[#This Row],[Até:]]-Tabela_Fevereiro88[[#This Row],[De:]]</f>
        <v>3.3000000000000114</v>
      </c>
      <c r="F111" s="110"/>
      <c r="G111" s="110"/>
      <c r="H111" s="60" t="s">
        <v>89</v>
      </c>
      <c r="I111" s="60"/>
      <c r="J111" s="60"/>
      <c r="K111" s="105">
        <f>Tabela_Fevereiro88[[#This Row],[Até]]-Tabela_Fevereiro88[[#This Row],[De]]</f>
        <v>0</v>
      </c>
      <c r="L111" s="97">
        <v>0.95833333333333337</v>
      </c>
      <c r="M111" s="97">
        <v>1.2361111111111112</v>
      </c>
      <c r="N111" s="113">
        <f>Tabela_Fevereiro88[[#This Row],[Horário Término]]-Tabela_Fevereiro88[[#This Row],[Horário Inicio]]</f>
        <v>0.27777777777777779</v>
      </c>
      <c r="O111" s="90"/>
      <c r="P111" s="90"/>
      <c r="Q111" s="2"/>
      <c r="R111" s="2"/>
      <c r="S111"/>
    </row>
    <row r="112" spans="1:19" s="61" customFormat="1" x14ac:dyDescent="0.35">
      <c r="A112" s="3">
        <v>46180</v>
      </c>
      <c r="B112" s="56"/>
      <c r="C112" s="60">
        <v>336.3</v>
      </c>
      <c r="D112" s="60">
        <v>345</v>
      </c>
      <c r="E112" s="110">
        <f>Tabela_Fevereiro88[[#This Row],[Até:]]-Tabela_Fevereiro88[[#This Row],[De:]]</f>
        <v>8.6999999999999886</v>
      </c>
      <c r="F112" s="110"/>
      <c r="G112" s="110"/>
      <c r="H112" s="60" t="s">
        <v>89</v>
      </c>
      <c r="I112" s="60"/>
      <c r="J112" s="60"/>
      <c r="K112" s="105">
        <f>Tabela_Fevereiro88[[#This Row],[Até]]-Tabela_Fevereiro88[[#This Row],[De]]</f>
        <v>0</v>
      </c>
      <c r="L112" s="97">
        <v>0.3888888888888889</v>
      </c>
      <c r="M112" s="97">
        <v>1.0138888888888888</v>
      </c>
      <c r="N112" s="113">
        <f>Tabela_Fevereiro88[[#This Row],[Horário Término]]-Tabela_Fevereiro88[[#This Row],[Horário Inicio]]</f>
        <v>0.625</v>
      </c>
      <c r="O112" s="90"/>
      <c r="P112" s="90"/>
      <c r="Q112" s="2"/>
      <c r="R112" s="2"/>
      <c r="S112"/>
    </row>
    <row r="113" spans="1:19" s="61" customFormat="1" x14ac:dyDescent="0.35">
      <c r="A113" s="3"/>
      <c r="B113" s="56"/>
      <c r="C113" s="60">
        <v>345</v>
      </c>
      <c r="D113" s="60">
        <v>346</v>
      </c>
      <c r="E113" s="110">
        <f>Tabela_Fevereiro88[[#This Row],[Até:]]-Tabela_Fevereiro88[[#This Row],[De:]]</f>
        <v>1</v>
      </c>
      <c r="F113" s="110"/>
      <c r="G113" s="110"/>
      <c r="H113" s="60" t="s">
        <v>89</v>
      </c>
      <c r="I113" s="60"/>
      <c r="J113" s="60"/>
      <c r="K113" s="105">
        <f>Tabela_Fevereiro88[[#This Row],[Até]]-Tabela_Fevereiro88[[#This Row],[De]]</f>
        <v>0</v>
      </c>
      <c r="L113" s="97">
        <v>1.0138888888888888</v>
      </c>
      <c r="M113" s="97">
        <v>1.1111111111111112</v>
      </c>
      <c r="N113" s="113">
        <f>Tabela_Fevereiro88[[#This Row],[Horário Término]]-Tabela_Fevereiro88[[#This Row],[Horário Inicio]]</f>
        <v>9.7222222222222321E-2</v>
      </c>
      <c r="O113" s="90"/>
      <c r="P113" s="90"/>
      <c r="Q113" s="2"/>
      <c r="R113" s="2"/>
      <c r="S113"/>
    </row>
    <row r="114" spans="1:19" s="61" customFormat="1" x14ac:dyDescent="0.35">
      <c r="A114" s="3">
        <v>46181</v>
      </c>
      <c r="B114" s="56"/>
      <c r="C114" s="60">
        <v>346</v>
      </c>
      <c r="D114" s="60">
        <v>354</v>
      </c>
      <c r="E114" s="110">
        <f>Tabela_Fevereiro88[[#This Row],[Até:]]-Tabela_Fevereiro88[[#This Row],[De:]]</f>
        <v>8</v>
      </c>
      <c r="F114" s="110"/>
      <c r="G114" s="110"/>
      <c r="H114" s="60" t="s">
        <v>89</v>
      </c>
      <c r="I114" s="60"/>
      <c r="J114" s="60"/>
      <c r="K114" s="105">
        <f>Tabela_Fevereiro88[[#This Row],[Até]]-Tabela_Fevereiro88[[#This Row],[De]]</f>
        <v>0</v>
      </c>
      <c r="L114" s="97">
        <v>0.1388888888888889</v>
      </c>
      <c r="M114" s="97">
        <v>1.0208333333333333</v>
      </c>
      <c r="N114" s="113">
        <f>Tabela_Fevereiro88[[#This Row],[Horário Término]]-Tabela_Fevereiro88[[#This Row],[Horário Inicio]]</f>
        <v>0.88194444444444442</v>
      </c>
      <c r="O114" s="90"/>
      <c r="P114" s="90"/>
      <c r="Q114" s="2"/>
      <c r="R114" s="2"/>
      <c r="S114"/>
    </row>
    <row r="115" spans="1:19" s="61" customFormat="1" x14ac:dyDescent="0.35">
      <c r="A115" s="3">
        <v>46182</v>
      </c>
      <c r="B115" s="56"/>
      <c r="C115" s="60">
        <v>354</v>
      </c>
      <c r="D115" s="60">
        <v>355</v>
      </c>
      <c r="E115" s="110">
        <f>Tabela_Fevereiro88[[#This Row],[Até:]]-Tabela_Fevereiro88[[#This Row],[De:]]</f>
        <v>1</v>
      </c>
      <c r="F115" s="110"/>
      <c r="G115" s="110"/>
      <c r="H115" s="60" t="s">
        <v>89</v>
      </c>
      <c r="I115" s="60"/>
      <c r="J115" s="60"/>
      <c r="K115" s="105">
        <f>Tabela_Fevereiro88[[#This Row],[Até]]-Tabela_Fevereiro88[[#This Row],[De]]</f>
        <v>0</v>
      </c>
      <c r="L115" s="97">
        <v>1.0208333333333333</v>
      </c>
      <c r="M115" s="97">
        <v>1.1701388888888888</v>
      </c>
      <c r="N115" s="113">
        <f>Tabela_Fevereiro88[[#This Row],[Horário Término]]-Tabela_Fevereiro88[[#This Row],[Horário Inicio]]</f>
        <v>0.14930555555555558</v>
      </c>
      <c r="O115" s="90"/>
      <c r="P115" s="90"/>
      <c r="Q115" s="2"/>
      <c r="R115" s="2"/>
      <c r="S115"/>
    </row>
    <row r="116" spans="1:19" s="61" customFormat="1" x14ac:dyDescent="0.35">
      <c r="A116" s="3"/>
      <c r="B116" s="56"/>
      <c r="C116" s="60">
        <v>355</v>
      </c>
      <c r="D116" s="60">
        <v>355.45</v>
      </c>
      <c r="E116" s="110">
        <f>Tabela_Fevereiro88[[#This Row],[Até:]]-Tabela_Fevereiro88[[#This Row],[De:]]</f>
        <v>0.44999999999998863</v>
      </c>
      <c r="F116" s="110"/>
      <c r="G116" s="110"/>
      <c r="H116" s="60" t="s">
        <v>89</v>
      </c>
      <c r="I116" s="60"/>
      <c r="J116" s="60"/>
      <c r="K116" s="105">
        <f>Tabela_Fevereiro88[[#This Row],[Até]]-Tabela_Fevereiro88[[#This Row],[De]]</f>
        <v>0</v>
      </c>
      <c r="L116" s="97">
        <v>0.61111111111111116</v>
      </c>
      <c r="M116" s="97">
        <v>0.70833333333333337</v>
      </c>
      <c r="N116" s="113">
        <f>Tabela_Fevereiro88[[#This Row],[Horário Término]]-Tabela_Fevereiro88[[#This Row],[Horário Inicio]]</f>
        <v>9.722222222222221E-2</v>
      </c>
      <c r="O116" s="90"/>
      <c r="P116" s="90"/>
      <c r="Q116" s="2"/>
      <c r="R116" s="2"/>
      <c r="S116"/>
    </row>
    <row r="117" spans="1:19" s="61" customFormat="1" x14ac:dyDescent="0.35">
      <c r="A117" s="3"/>
      <c r="B117" s="56"/>
      <c r="C117" s="60">
        <v>355.45</v>
      </c>
      <c r="D117" s="60">
        <v>359</v>
      </c>
      <c r="E117" s="110">
        <f>Tabela_Fevereiro88[[#This Row],[Até:]]-Tabela_Fevereiro88[[#This Row],[De:]]</f>
        <v>3.5500000000000114</v>
      </c>
      <c r="F117" s="110"/>
      <c r="G117" s="110"/>
      <c r="H117" s="60"/>
      <c r="I117" s="60"/>
      <c r="J117" s="60"/>
      <c r="K117" s="105">
        <f>Tabela_Fevereiro88[[#This Row],[Até]]-Tabela_Fevereiro88[[#This Row],[De]]</f>
        <v>0</v>
      </c>
      <c r="L117" s="97">
        <v>0.72916666666666663</v>
      </c>
      <c r="M117" s="97">
        <v>1.2638888888888888</v>
      </c>
      <c r="N117" s="113">
        <f>Tabela_Fevereiro88[[#This Row],[Horário Término]]-Tabela_Fevereiro88[[#This Row],[Horário Inicio]]</f>
        <v>0.53472222222222221</v>
      </c>
      <c r="O117" s="90"/>
      <c r="P117" s="90"/>
      <c r="Q117" s="2"/>
      <c r="R117" s="2"/>
      <c r="S117"/>
    </row>
    <row r="118" spans="1:19" s="61" customFormat="1" x14ac:dyDescent="0.35">
      <c r="A118" s="3">
        <v>46183</v>
      </c>
      <c r="B118" s="56"/>
      <c r="C118" s="60">
        <v>359</v>
      </c>
      <c r="D118" s="60">
        <v>365.11</v>
      </c>
      <c r="E118" s="110">
        <f>Tabela_Fevereiro88[[#This Row],[Até:]]-Tabela_Fevereiro88[[#This Row],[De:]]</f>
        <v>6.1100000000000136</v>
      </c>
      <c r="F118" s="110"/>
      <c r="G118" s="110"/>
      <c r="H118" s="60" t="s">
        <v>89</v>
      </c>
      <c r="I118" s="60"/>
      <c r="J118" s="60"/>
      <c r="K118" s="105">
        <f>Tabela_Fevereiro88[[#This Row],[Até]]-Tabela_Fevereiro88[[#This Row],[De]]</f>
        <v>0</v>
      </c>
      <c r="L118" s="97">
        <v>0.2638888888888889</v>
      </c>
      <c r="M118" s="97">
        <v>0.98263888888888884</v>
      </c>
      <c r="N118" s="113">
        <f>Tabela_Fevereiro88[[#This Row],[Horário Término]]-Tabela_Fevereiro88[[#This Row],[Horário Inicio]]</f>
        <v>0.71875</v>
      </c>
      <c r="O118" s="90"/>
      <c r="P118" s="90"/>
      <c r="Q118" s="2"/>
      <c r="R118" s="2"/>
      <c r="S118"/>
    </row>
    <row r="119" spans="1:19" s="61" customFormat="1" x14ac:dyDescent="0.35">
      <c r="A119" s="3"/>
      <c r="B119" s="56"/>
      <c r="C119" s="60">
        <v>365.11</v>
      </c>
      <c r="D119" s="60">
        <v>374</v>
      </c>
      <c r="E119" s="110">
        <f>Tabela_Fevereiro88[[#This Row],[Até:]]-Tabela_Fevereiro88[[#This Row],[De:]]</f>
        <v>8.8899999999999864</v>
      </c>
      <c r="F119" s="110"/>
      <c r="G119" s="110"/>
      <c r="H119" s="60" t="s">
        <v>89</v>
      </c>
      <c r="I119" s="60"/>
      <c r="J119" s="60"/>
      <c r="K119" s="105">
        <f>Tabela_Fevereiro88[[#This Row],[Até]]-Tabela_Fevereiro88[[#This Row],[De]]</f>
        <v>0</v>
      </c>
      <c r="L119" s="97">
        <v>1.0104166666666667</v>
      </c>
      <c r="M119" s="97">
        <v>1.2916666666666667</v>
      </c>
      <c r="N119" s="113">
        <f>Tabela_Fevereiro88[[#This Row],[Horário Término]]-Tabela_Fevereiro88[[#This Row],[Horário Inicio]]</f>
        <v>0.28125</v>
      </c>
      <c r="O119" s="90"/>
      <c r="P119" s="90"/>
      <c r="Q119" s="2"/>
      <c r="R119" s="2"/>
      <c r="S119"/>
    </row>
    <row r="120" spans="1:19" s="61" customFormat="1" x14ac:dyDescent="0.35">
      <c r="A120" s="3">
        <v>46184</v>
      </c>
      <c r="B120" s="56"/>
      <c r="C120" s="60">
        <v>374</v>
      </c>
      <c r="D120" s="60">
        <v>384.5</v>
      </c>
      <c r="E120" s="110">
        <f>Tabela_Fevereiro88[[#This Row],[Até:]]-Tabela_Fevereiro88[[#This Row],[De:]]</f>
        <v>10.5</v>
      </c>
      <c r="F120" s="110"/>
      <c r="G120" s="110"/>
      <c r="H120" s="60" t="s">
        <v>89</v>
      </c>
      <c r="I120" s="60"/>
      <c r="J120" s="60"/>
      <c r="K120" s="105">
        <f>Tabela_Fevereiro88[[#This Row],[Até]]-Tabela_Fevereiro88[[#This Row],[De]]</f>
        <v>0</v>
      </c>
      <c r="L120" s="97">
        <v>0.29166666666666669</v>
      </c>
      <c r="M120" s="97">
        <v>0.83333333333333337</v>
      </c>
      <c r="N120" s="113">
        <f>Tabela_Fevereiro88[[#This Row],[Horário Término]]-Tabela_Fevereiro88[[#This Row],[Horário Inicio]]</f>
        <v>0.54166666666666674</v>
      </c>
      <c r="O120" s="90"/>
      <c r="P120" s="90"/>
      <c r="Q120" s="2"/>
      <c r="R120" s="2"/>
      <c r="S120"/>
    </row>
    <row r="121" spans="1:19" s="61" customFormat="1" x14ac:dyDescent="0.35">
      <c r="A121" s="3"/>
      <c r="B121" s="56"/>
      <c r="C121" s="60">
        <v>384.5</v>
      </c>
      <c r="D121" s="60">
        <v>387</v>
      </c>
      <c r="E121" s="110">
        <f>Tabela_Fevereiro88[[#This Row],[Até:]]-Tabela_Fevereiro88[[#This Row],[De:]]</f>
        <v>2.5</v>
      </c>
      <c r="F121" s="110"/>
      <c r="G121" s="110"/>
      <c r="H121" s="60" t="s">
        <v>89</v>
      </c>
      <c r="I121" s="60"/>
      <c r="J121" s="60"/>
      <c r="K121" s="105">
        <f>Tabela_Fevereiro88[[#This Row],[Até]]-Tabela_Fevereiro88[[#This Row],[De]]</f>
        <v>0</v>
      </c>
      <c r="L121" s="97">
        <v>0.86111111111111116</v>
      </c>
      <c r="M121" s="97">
        <v>0.98611111111111116</v>
      </c>
      <c r="N121" s="113">
        <f>Tabela_Fevereiro88[[#This Row],[Horário Término]]-Tabela_Fevereiro88[[#This Row],[Horário Inicio]]</f>
        <v>0.125</v>
      </c>
      <c r="O121" s="90"/>
      <c r="P121" s="90"/>
      <c r="Q121" s="2"/>
      <c r="R121" s="2"/>
      <c r="S121"/>
    </row>
    <row r="122" spans="1:19" s="61" customFormat="1" x14ac:dyDescent="0.35">
      <c r="A122" s="3"/>
      <c r="B122" s="56"/>
      <c r="C122" s="60">
        <v>387</v>
      </c>
      <c r="D122" s="60">
        <v>392</v>
      </c>
      <c r="E122" s="110">
        <f>Tabela_Fevereiro88[[#This Row],[Até:]]-Tabela_Fevereiro88[[#This Row],[De:]]</f>
        <v>5</v>
      </c>
      <c r="F122" s="110"/>
      <c r="G122" s="110"/>
      <c r="H122" s="60" t="s">
        <v>89</v>
      </c>
      <c r="I122" s="60"/>
      <c r="J122" s="60"/>
      <c r="K122" s="105">
        <f>Tabela_Fevereiro88[[#This Row],[Até]]-Tabela_Fevereiro88[[#This Row],[De]]</f>
        <v>0</v>
      </c>
      <c r="L122" s="97">
        <v>0.98611111111111116</v>
      </c>
      <c r="M122" s="97">
        <v>1.2534722222222223</v>
      </c>
      <c r="N122" s="113">
        <f>Tabela_Fevereiro88[[#This Row],[Horário Término]]-Tabela_Fevereiro88[[#This Row],[Horário Inicio]]</f>
        <v>0.26736111111111116</v>
      </c>
      <c r="O122" s="90"/>
      <c r="P122" s="90"/>
      <c r="Q122" s="2"/>
      <c r="R122" s="2"/>
      <c r="S122"/>
    </row>
    <row r="123" spans="1:19" s="61" customFormat="1" x14ac:dyDescent="0.35">
      <c r="A123" s="3">
        <v>46185</v>
      </c>
      <c r="B123" s="56"/>
      <c r="C123" s="60">
        <v>392</v>
      </c>
      <c r="D123" s="60">
        <v>394.1</v>
      </c>
      <c r="E123" s="110">
        <f>Tabela_Fevereiro88[[#This Row],[Até:]]-Tabela_Fevereiro88[[#This Row],[De:]]</f>
        <v>2.1000000000000227</v>
      </c>
      <c r="F123" s="110"/>
      <c r="G123" s="110"/>
      <c r="H123" s="60" t="s">
        <v>89</v>
      </c>
      <c r="I123" s="60"/>
      <c r="J123" s="60"/>
      <c r="K123" s="105">
        <f>Tabela_Fevereiro88[[#This Row],[Até]]-Tabela_Fevereiro88[[#This Row],[De]]</f>
        <v>0</v>
      </c>
      <c r="L123" s="97">
        <v>0.25347222222222221</v>
      </c>
      <c r="M123" s="97">
        <v>0.34027777777777779</v>
      </c>
      <c r="N123" s="113">
        <f>Tabela_Fevereiro88[[#This Row],[Horário Término]]-Tabela_Fevereiro88[[#This Row],[Horário Inicio]]</f>
        <v>8.680555555555558E-2</v>
      </c>
      <c r="O123" s="90"/>
      <c r="P123" s="90"/>
      <c r="Q123" s="2"/>
      <c r="R123" s="2"/>
      <c r="S123"/>
    </row>
    <row r="124" spans="1:19" s="61" customFormat="1" x14ac:dyDescent="0.35">
      <c r="A124" s="3"/>
      <c r="B124" s="56"/>
      <c r="C124" s="60">
        <v>394.1</v>
      </c>
      <c r="D124" s="60">
        <v>399</v>
      </c>
      <c r="E124" s="110">
        <f>Tabela_Fevereiro88[[#This Row],[Até:]]-Tabela_Fevereiro88[[#This Row],[De:]]</f>
        <v>4.8999999999999773</v>
      </c>
      <c r="F124" s="110">
        <v>48</v>
      </c>
      <c r="G124" s="110">
        <v>9</v>
      </c>
      <c r="H124" s="60" t="s">
        <v>89</v>
      </c>
      <c r="I124" s="60"/>
      <c r="J124" s="60"/>
      <c r="K124" s="105">
        <f>Tabela_Fevereiro88[[#This Row],[Até]]-Tabela_Fevereiro88[[#This Row],[De]]</f>
        <v>0</v>
      </c>
      <c r="L124" s="97">
        <v>0.36458333333333331</v>
      </c>
      <c r="M124" s="97">
        <v>0.96180555555555558</v>
      </c>
      <c r="N124" s="113">
        <f>Tabela_Fevereiro88[[#This Row],[Horário Término]]-Tabela_Fevereiro88[[#This Row],[Horário Inicio]]</f>
        <v>0.59722222222222232</v>
      </c>
      <c r="O124" s="90"/>
      <c r="P124" s="90"/>
      <c r="Q124" s="2"/>
      <c r="R124" s="2"/>
      <c r="S124"/>
    </row>
    <row r="125" spans="1:19" s="61" customFormat="1" x14ac:dyDescent="0.35">
      <c r="A125" s="3"/>
      <c r="B125" s="56"/>
      <c r="C125" s="60">
        <v>399</v>
      </c>
      <c r="D125" s="60">
        <v>400</v>
      </c>
      <c r="E125" s="110">
        <f>Tabela_Fevereiro88[[#This Row],[Até:]]-Tabela_Fevereiro88[[#This Row],[De:]]</f>
        <v>1</v>
      </c>
      <c r="F125" s="110"/>
      <c r="G125" s="110"/>
      <c r="H125" s="60" t="s">
        <v>89</v>
      </c>
      <c r="I125" s="60"/>
      <c r="J125" s="60"/>
      <c r="K125" s="105">
        <f>Tabela_Fevereiro88[[#This Row],[Até]]-Tabela_Fevereiro88[[#This Row],[De]]</f>
        <v>0</v>
      </c>
      <c r="L125" s="97">
        <v>0.96180555555555558</v>
      </c>
      <c r="M125" s="97">
        <v>1.1458333333333333</v>
      </c>
      <c r="N125" s="113">
        <f>Tabela_Fevereiro88[[#This Row],[Horário Término]]-Tabela_Fevereiro88[[#This Row],[Horário Inicio]]</f>
        <v>0.18402777777777768</v>
      </c>
      <c r="O125" s="90"/>
      <c r="P125" s="90"/>
      <c r="Q125" s="2"/>
      <c r="R125" s="2"/>
      <c r="S125"/>
    </row>
    <row r="126" spans="1:19" s="61" customFormat="1" x14ac:dyDescent="0.35">
      <c r="A126" s="3">
        <v>46186</v>
      </c>
      <c r="B126" s="56"/>
      <c r="C126" s="60">
        <v>400</v>
      </c>
      <c r="D126" s="60">
        <v>403.54</v>
      </c>
      <c r="E126" s="110">
        <f>Tabela_Fevereiro88[[#This Row],[Até:]]-Tabela_Fevereiro88[[#This Row],[De:]]</f>
        <v>3.5400000000000205</v>
      </c>
      <c r="F126" s="110"/>
      <c r="G126" s="110"/>
      <c r="H126" s="60" t="s">
        <v>89</v>
      </c>
      <c r="I126" s="60"/>
      <c r="J126" s="60"/>
      <c r="K126" s="105">
        <f>Tabela_Fevereiro88[[#This Row],[Até]]-Tabela_Fevereiro88[[#This Row],[De]]</f>
        <v>0</v>
      </c>
      <c r="L126" s="97">
        <v>0.14583333333333334</v>
      </c>
      <c r="M126" s="97">
        <v>0.91666666666666663</v>
      </c>
      <c r="N126" s="113">
        <f>Tabela_Fevereiro88[[#This Row],[Horário Término]]-Tabela_Fevereiro88[[#This Row],[Horário Inicio]]</f>
        <v>0.77083333333333326</v>
      </c>
      <c r="O126" s="90"/>
      <c r="P126" s="90"/>
      <c r="Q126" s="2"/>
      <c r="R126" s="2"/>
      <c r="S126"/>
    </row>
    <row r="127" spans="1:19" s="61" customFormat="1" x14ac:dyDescent="0.35">
      <c r="A127" s="3"/>
      <c r="B127" s="56"/>
      <c r="C127" s="60">
        <v>403.54</v>
      </c>
      <c r="D127" s="60">
        <v>407</v>
      </c>
      <c r="E127" s="110">
        <f>Tabela_Fevereiro88[[#This Row],[Até:]]-Tabela_Fevereiro88[[#This Row],[De:]]</f>
        <v>3.4599999999999795</v>
      </c>
      <c r="F127" s="110"/>
      <c r="G127" s="110"/>
      <c r="H127" s="60" t="s">
        <v>89</v>
      </c>
      <c r="I127" s="60"/>
      <c r="J127" s="60"/>
      <c r="K127" s="105">
        <f>Tabela_Fevereiro88[[#This Row],[Até]]-Tabela_Fevereiro88[[#This Row],[De]]</f>
        <v>0</v>
      </c>
      <c r="L127" s="97">
        <v>0.94444444444444442</v>
      </c>
      <c r="M127" s="97">
        <v>1.2673611111111112</v>
      </c>
      <c r="N127" s="113">
        <f>Tabela_Fevereiro88[[#This Row],[Horário Término]]-Tabela_Fevereiro88[[#This Row],[Horário Inicio]]</f>
        <v>0.32291666666666674</v>
      </c>
      <c r="O127" s="90"/>
      <c r="P127" s="90"/>
      <c r="Q127" s="2"/>
      <c r="R127" s="2"/>
      <c r="S127"/>
    </row>
    <row r="128" spans="1:19" s="61" customFormat="1" x14ac:dyDescent="0.35">
      <c r="A128" s="3">
        <v>46187</v>
      </c>
      <c r="B128" s="56"/>
      <c r="C128" s="60">
        <v>407</v>
      </c>
      <c r="D128" s="60">
        <v>413.17</v>
      </c>
      <c r="E128" s="110">
        <f>Tabela_Fevereiro88[[#This Row],[Até:]]-Tabela_Fevereiro88[[#This Row],[De:]]</f>
        <v>6.1700000000000159</v>
      </c>
      <c r="F128" s="110"/>
      <c r="G128" s="110"/>
      <c r="H128" s="60" t="s">
        <v>89</v>
      </c>
      <c r="I128" s="60"/>
      <c r="J128" s="60"/>
      <c r="K128" s="105">
        <f>Tabela_Fevereiro88[[#This Row],[Até]]-Tabela_Fevereiro88[[#This Row],[De]]</f>
        <v>0</v>
      </c>
      <c r="L128" s="97">
        <v>0.2673611111111111</v>
      </c>
      <c r="M128" s="97">
        <v>0.73611111111111116</v>
      </c>
      <c r="N128" s="113">
        <f>Tabela_Fevereiro88[[#This Row],[Horário Término]]-Tabela_Fevereiro88[[#This Row],[Horário Inicio]]</f>
        <v>0.46875000000000006</v>
      </c>
      <c r="O128" s="90"/>
      <c r="P128" s="90"/>
      <c r="Q128" s="2"/>
      <c r="R128" s="2"/>
      <c r="S128"/>
    </row>
    <row r="129" spans="1:19" s="61" customFormat="1" x14ac:dyDescent="0.35">
      <c r="A129" s="3"/>
      <c r="B129" s="56"/>
      <c r="C129" s="60">
        <v>413.17</v>
      </c>
      <c r="D129" s="60">
        <v>419</v>
      </c>
      <c r="E129" s="110">
        <f>Tabela_Fevereiro88[[#This Row],[Até:]]-Tabela_Fevereiro88[[#This Row],[De:]]</f>
        <v>5.8299999999999841</v>
      </c>
      <c r="F129" s="110"/>
      <c r="G129" s="110"/>
      <c r="H129" s="60" t="s">
        <v>89</v>
      </c>
      <c r="I129" s="60"/>
      <c r="J129" s="60"/>
      <c r="K129" s="105">
        <f>Tabela_Fevereiro88[[#This Row],[Até]]-Tabela_Fevereiro88[[#This Row],[De]]</f>
        <v>0</v>
      </c>
      <c r="L129" s="97">
        <v>0.75694444444444442</v>
      </c>
      <c r="M129" s="97">
        <v>1.2708333333333333</v>
      </c>
      <c r="N129" s="113">
        <f>Tabela_Fevereiro88[[#This Row],[Horário Término]]-Tabela_Fevereiro88[[#This Row],[Horário Inicio]]</f>
        <v>0.51388888888888884</v>
      </c>
      <c r="O129" s="90"/>
      <c r="P129" s="90"/>
      <c r="Q129" s="2"/>
      <c r="R129" s="2"/>
      <c r="S129"/>
    </row>
    <row r="130" spans="1:19" s="61" customFormat="1" x14ac:dyDescent="0.35">
      <c r="A130" s="3">
        <v>46188</v>
      </c>
      <c r="B130" s="56"/>
      <c r="C130" s="60">
        <v>419</v>
      </c>
      <c r="D130" s="60">
        <v>422.77</v>
      </c>
      <c r="E130" s="110">
        <f>Tabela_Fevereiro88[[#This Row],[Até:]]-Tabela_Fevereiro88[[#This Row],[De:]]</f>
        <v>3.7699999999999818</v>
      </c>
      <c r="F130" s="110"/>
      <c r="G130" s="110"/>
      <c r="H130" s="60" t="s">
        <v>89</v>
      </c>
      <c r="I130" s="60"/>
      <c r="J130" s="60"/>
      <c r="K130" s="105">
        <f>Tabela_Fevereiro88[[#This Row],[Até]]-Tabela_Fevereiro88[[#This Row],[De]]</f>
        <v>0</v>
      </c>
      <c r="L130" s="97">
        <v>0.27083333333333331</v>
      </c>
      <c r="M130" s="97">
        <v>0.90625</v>
      </c>
      <c r="N130" s="113">
        <f>Tabela_Fevereiro88[[#This Row],[Horário Término]]-Tabela_Fevereiro88[[#This Row],[Horário Inicio]]</f>
        <v>0.63541666666666674</v>
      </c>
      <c r="O130" s="90"/>
      <c r="P130" s="90"/>
      <c r="Q130" s="2"/>
      <c r="R130" s="2"/>
      <c r="S130"/>
    </row>
    <row r="131" spans="1:19" s="61" customFormat="1" x14ac:dyDescent="0.35">
      <c r="A131" s="3">
        <v>46189</v>
      </c>
      <c r="B131" s="56"/>
      <c r="C131" s="60">
        <v>422.77</v>
      </c>
      <c r="D131" s="60">
        <v>427</v>
      </c>
      <c r="E131" s="110">
        <f>Tabela_Fevereiro88[[#This Row],[Até:]]-Tabela_Fevereiro88[[#This Row],[De:]]</f>
        <v>4.2300000000000182</v>
      </c>
      <c r="F131" s="110"/>
      <c r="G131" s="110"/>
      <c r="H131" s="60" t="s">
        <v>89</v>
      </c>
      <c r="I131" s="60"/>
      <c r="J131" s="60"/>
      <c r="K131" s="105">
        <f>Tabela_Fevereiro88[[#This Row],[Até]]-Tabela_Fevereiro88[[#This Row],[De]]</f>
        <v>0</v>
      </c>
      <c r="L131" s="97">
        <v>0.95833333333333337</v>
      </c>
      <c r="M131" s="97">
        <v>1.625</v>
      </c>
      <c r="N131" s="113">
        <f>Tabela_Fevereiro88[[#This Row],[Horário Término]]-Tabela_Fevereiro88[[#This Row],[Horário Inicio]]</f>
        <v>0.66666666666666663</v>
      </c>
      <c r="O131" s="90"/>
      <c r="P131" s="90"/>
      <c r="Q131" s="2"/>
      <c r="R131" s="2"/>
      <c r="S131"/>
    </row>
    <row r="132" spans="1:19" s="61" customFormat="1" x14ac:dyDescent="0.35">
      <c r="A132" s="3"/>
      <c r="B132" s="56"/>
      <c r="C132" s="60">
        <v>427</v>
      </c>
      <c r="D132" s="60">
        <v>430.6</v>
      </c>
      <c r="E132" s="110">
        <f>Tabela_Fevereiro88[[#This Row],[Até:]]-Tabela_Fevereiro88[[#This Row],[De:]]</f>
        <v>3.6000000000000227</v>
      </c>
      <c r="F132" s="110"/>
      <c r="G132" s="110"/>
      <c r="H132" s="60" t="s">
        <v>89</v>
      </c>
      <c r="I132" s="60"/>
      <c r="J132" s="60"/>
      <c r="K132" s="105">
        <f>Tabela_Fevereiro88[[#This Row],[Até]]-Tabela_Fevereiro88[[#This Row],[De]]</f>
        <v>0</v>
      </c>
      <c r="L132" s="97">
        <v>0.625</v>
      </c>
      <c r="M132" s="97">
        <v>1.3402777777777777</v>
      </c>
      <c r="N132" s="113">
        <f>Tabela_Fevereiro88[[#This Row],[Horário Término]]-Tabela_Fevereiro88[[#This Row],[Horário Inicio]]</f>
        <v>0.71527777777777768</v>
      </c>
      <c r="O132" s="90"/>
      <c r="P132" s="90"/>
      <c r="Q132" s="2"/>
      <c r="R132" s="2"/>
      <c r="S132"/>
    </row>
    <row r="133" spans="1:19" s="61" customFormat="1" x14ac:dyDescent="0.35">
      <c r="A133" s="3">
        <v>46190</v>
      </c>
      <c r="B133" s="56"/>
      <c r="C133" s="60">
        <v>430.6</v>
      </c>
      <c r="D133" s="60">
        <v>432.4</v>
      </c>
      <c r="E133" s="110">
        <f>Tabela_Fevereiro88[[#This Row],[Até:]]-Tabela_Fevereiro88[[#This Row],[De:]]</f>
        <v>1.7999999999999545</v>
      </c>
      <c r="F133" s="110"/>
      <c r="G133" s="110"/>
      <c r="H133" s="60" t="s">
        <v>89</v>
      </c>
      <c r="I133" s="60"/>
      <c r="J133" s="60"/>
      <c r="K133" s="105">
        <f>Tabela_Fevereiro88[[#This Row],[Até]]-Tabela_Fevereiro88[[#This Row],[De]]</f>
        <v>0</v>
      </c>
      <c r="L133" s="97">
        <v>0.46527777777777779</v>
      </c>
      <c r="M133" s="97">
        <v>0.65277777777777779</v>
      </c>
      <c r="N133" s="113">
        <f>Tabela_Fevereiro88[[#This Row],[Horário Término]]-Tabela_Fevereiro88[[#This Row],[Horário Inicio]]</f>
        <v>0.1875</v>
      </c>
      <c r="O133" s="90"/>
      <c r="P133" s="90"/>
      <c r="Q133" s="2"/>
      <c r="R133" s="2"/>
      <c r="S133"/>
    </row>
    <row r="134" spans="1:19" s="61" customFormat="1" x14ac:dyDescent="0.35">
      <c r="A134" s="3"/>
      <c r="B134" s="56"/>
      <c r="C134" s="60">
        <v>432.4</v>
      </c>
      <c r="D134" s="60">
        <v>435</v>
      </c>
      <c r="E134" s="110">
        <f>Tabela_Fevereiro88[[#This Row],[Até:]]-Tabela_Fevereiro88[[#This Row],[De:]]</f>
        <v>2.6000000000000227</v>
      </c>
      <c r="F134" s="110"/>
      <c r="G134" s="110"/>
      <c r="H134" s="60" t="s">
        <v>89</v>
      </c>
      <c r="I134" s="60"/>
      <c r="J134" s="60"/>
      <c r="K134" s="105">
        <f>Tabela_Fevereiro88[[#This Row],[Até]]-Tabela_Fevereiro88[[#This Row],[De]]</f>
        <v>0</v>
      </c>
      <c r="L134" s="97">
        <v>0.67361111111111116</v>
      </c>
      <c r="M134" s="97">
        <v>1</v>
      </c>
      <c r="N134" s="113">
        <f>Tabela_Fevereiro88[[#This Row],[Horário Término]]-Tabela_Fevereiro88[[#This Row],[Horário Inicio]]</f>
        <v>0.32638888888888884</v>
      </c>
      <c r="O134" s="90"/>
      <c r="P134" s="90"/>
      <c r="Q134" s="2"/>
      <c r="R134" s="2"/>
      <c r="S134"/>
    </row>
    <row r="135" spans="1:19" s="61" customFormat="1" x14ac:dyDescent="0.35">
      <c r="A135" s="3">
        <v>46191</v>
      </c>
      <c r="B135" s="56"/>
      <c r="C135" s="60">
        <v>435</v>
      </c>
      <c r="D135" s="60">
        <v>437.4</v>
      </c>
      <c r="E135" s="110">
        <f>Tabela_Fevereiro88[[#This Row],[Até:]]-Tabela_Fevereiro88[[#This Row],[De:]]</f>
        <v>2.3999999999999773</v>
      </c>
      <c r="F135" s="110"/>
      <c r="G135" s="110"/>
      <c r="H135" s="60" t="s">
        <v>89</v>
      </c>
      <c r="I135" s="60"/>
      <c r="J135" s="60"/>
      <c r="K135" s="105">
        <f>Tabela_Fevereiro88[[#This Row],[Até]]-Tabela_Fevereiro88[[#This Row],[De]]</f>
        <v>0</v>
      </c>
      <c r="L135" s="97">
        <v>0.25</v>
      </c>
      <c r="M135" s="97">
        <v>0.34722222222222221</v>
      </c>
      <c r="N135" s="113">
        <f>Tabela_Fevereiro88[[#This Row],[Horário Término]]-Tabela_Fevereiro88[[#This Row],[Horário Inicio]]</f>
        <v>9.722222222222221E-2</v>
      </c>
      <c r="O135" s="90"/>
      <c r="P135" s="90"/>
      <c r="Q135" s="2"/>
      <c r="R135" s="2"/>
      <c r="S135"/>
    </row>
    <row r="136" spans="1:19" s="61" customFormat="1" x14ac:dyDescent="0.35">
      <c r="A136" s="3">
        <v>46192</v>
      </c>
      <c r="B136" s="56"/>
      <c r="C136" s="60">
        <v>437.4</v>
      </c>
      <c r="D136" s="60">
        <v>444.4</v>
      </c>
      <c r="E136" s="110">
        <f>Tabela_Fevereiro88[[#This Row],[Até:]]-Tabela_Fevereiro88[[#This Row],[De:]]</f>
        <v>7</v>
      </c>
      <c r="F136" s="110">
        <v>49</v>
      </c>
      <c r="G136" s="110">
        <v>9</v>
      </c>
      <c r="H136" s="60" t="s">
        <v>89</v>
      </c>
      <c r="I136" s="60"/>
      <c r="J136" s="60"/>
      <c r="K136" s="105">
        <f>Tabela_Fevereiro88[[#This Row],[Até]]-Tabela_Fevereiro88[[#This Row],[De]]</f>
        <v>0</v>
      </c>
      <c r="L136" s="97">
        <v>5.9027777777777776E-2</v>
      </c>
      <c r="M136" s="97">
        <v>0.97222222222222221</v>
      </c>
      <c r="N136" s="113">
        <f>Tabela_Fevereiro88[[#This Row],[Horário Término]]-Tabela_Fevereiro88[[#This Row],[Horário Inicio]]</f>
        <v>0.91319444444444442</v>
      </c>
      <c r="O136" s="90"/>
      <c r="P136" s="90"/>
      <c r="Q136" s="2"/>
      <c r="R136" s="2"/>
      <c r="S136"/>
    </row>
    <row r="137" spans="1:19" s="61" customFormat="1" x14ac:dyDescent="0.35">
      <c r="A137" s="3">
        <v>46193</v>
      </c>
      <c r="B137" s="56"/>
      <c r="C137" s="60">
        <v>444.4</v>
      </c>
      <c r="D137" s="60">
        <v>450</v>
      </c>
      <c r="E137" s="110">
        <f>Tabela_Fevereiro88[[#This Row],[Até:]]-Tabela_Fevereiro88[[#This Row],[De:]]</f>
        <v>5.6000000000000227</v>
      </c>
      <c r="F137" s="110"/>
      <c r="G137" s="110"/>
      <c r="H137" s="60" t="s">
        <v>89</v>
      </c>
      <c r="I137" s="60"/>
      <c r="J137" s="60"/>
      <c r="K137" s="105">
        <f>Tabela_Fevereiro88[[#This Row],[Até]]-Tabela_Fevereiro88[[#This Row],[De]]</f>
        <v>0</v>
      </c>
      <c r="L137" s="97">
        <v>0.98958333333333337</v>
      </c>
      <c r="M137" s="97">
        <v>1.3090277777777777</v>
      </c>
      <c r="N137" s="113">
        <f>Tabela_Fevereiro88[[#This Row],[Horário Término]]-Tabela_Fevereiro88[[#This Row],[Horário Inicio]]</f>
        <v>0.31944444444444431</v>
      </c>
      <c r="O137" s="90"/>
      <c r="P137" s="90"/>
      <c r="Q137" s="2"/>
      <c r="R137" s="2"/>
      <c r="S137"/>
    </row>
    <row r="138" spans="1:19" s="61" customFormat="1" x14ac:dyDescent="0.35">
      <c r="A138" s="3"/>
      <c r="B138" s="56"/>
      <c r="C138" s="60">
        <v>450</v>
      </c>
      <c r="D138" s="60">
        <v>453.43</v>
      </c>
      <c r="E138" s="110">
        <f>Tabela_Fevereiro88[[#This Row],[Até:]]-Tabela_Fevereiro88[[#This Row],[De:]]</f>
        <v>3.4300000000000068</v>
      </c>
      <c r="F138" s="110"/>
      <c r="G138" s="110"/>
      <c r="H138" s="60" t="s">
        <v>89</v>
      </c>
      <c r="I138" s="60"/>
      <c r="J138" s="60"/>
      <c r="K138" s="105">
        <f>Tabela_Fevereiro88[[#This Row],[Até]]-Tabela_Fevereiro88[[#This Row],[De]]</f>
        <v>0</v>
      </c>
      <c r="L138" s="97">
        <v>0.30902777777777779</v>
      </c>
      <c r="M138" s="97">
        <v>0.5</v>
      </c>
      <c r="N138" s="113">
        <f>Tabela_Fevereiro88[[#This Row],[Horário Término]]-Tabela_Fevereiro88[[#This Row],[Horário Inicio]]</f>
        <v>0.19097222222222221</v>
      </c>
      <c r="O138" s="90"/>
      <c r="P138" s="90"/>
      <c r="Q138" s="2"/>
      <c r="R138" s="2"/>
      <c r="S138"/>
    </row>
    <row r="139" spans="1:19" s="61" customFormat="1" x14ac:dyDescent="0.35">
      <c r="A139" s="3"/>
      <c r="B139" s="56"/>
      <c r="C139" s="60">
        <v>453.43</v>
      </c>
      <c r="D139" s="60">
        <v>461</v>
      </c>
      <c r="E139" s="110">
        <f>Tabela_Fevereiro88[[#This Row],[Até:]]-Tabela_Fevereiro88[[#This Row],[De:]]</f>
        <v>7.5699999999999932</v>
      </c>
      <c r="F139" s="110"/>
      <c r="G139" s="110"/>
      <c r="H139" s="60" t="s">
        <v>89</v>
      </c>
      <c r="I139" s="60"/>
      <c r="J139" s="60"/>
      <c r="K139" s="105">
        <f>Tabela_Fevereiro88[[#This Row],[Até]]-Tabela_Fevereiro88[[#This Row],[De]]</f>
        <v>0</v>
      </c>
      <c r="L139" s="97">
        <v>0.53472222222222221</v>
      </c>
      <c r="M139" s="97">
        <v>1.0138888888888888</v>
      </c>
      <c r="N139" s="113">
        <f>Tabela_Fevereiro88[[#This Row],[Horário Término]]-Tabela_Fevereiro88[[#This Row],[Horário Inicio]]</f>
        <v>0.47916666666666663</v>
      </c>
      <c r="O139" s="90"/>
      <c r="P139" s="90"/>
      <c r="Q139" s="2"/>
      <c r="R139" s="2"/>
      <c r="S139"/>
    </row>
    <row r="140" spans="1:19" s="61" customFormat="1" x14ac:dyDescent="0.35">
      <c r="A140" s="3">
        <v>46194</v>
      </c>
      <c r="B140" s="56"/>
      <c r="C140" s="60">
        <v>461</v>
      </c>
      <c r="D140" s="60">
        <v>463.2</v>
      </c>
      <c r="E140" s="110">
        <f>Tabela_Fevereiro88[[#This Row],[Até:]]-Tabela_Fevereiro88[[#This Row],[De:]]</f>
        <v>2.1999999999999886</v>
      </c>
      <c r="F140" s="110"/>
      <c r="G140" s="110"/>
      <c r="H140" s="60" t="s">
        <v>89</v>
      </c>
      <c r="I140" s="60"/>
      <c r="J140" s="60"/>
      <c r="K140" s="105">
        <f>Tabela_Fevereiro88[[#This Row],[Até]]-Tabela_Fevereiro88[[#This Row],[De]]</f>
        <v>0</v>
      </c>
      <c r="L140" s="97">
        <v>1.0138888888888888</v>
      </c>
      <c r="M140" s="97">
        <v>1.3402777777777777</v>
      </c>
      <c r="N140" s="113">
        <f>Tabela_Fevereiro88[[#This Row],[Horário Término]]-Tabela_Fevereiro88[[#This Row],[Horário Inicio]]</f>
        <v>0.32638888888888884</v>
      </c>
      <c r="O140" s="90"/>
      <c r="P140" s="90"/>
      <c r="Q140" s="2"/>
      <c r="R140" s="2"/>
      <c r="S140"/>
    </row>
    <row r="141" spans="1:19" s="61" customFormat="1" x14ac:dyDescent="0.35">
      <c r="A141" s="3"/>
      <c r="B141" s="56"/>
      <c r="C141" s="60">
        <v>463.2</v>
      </c>
      <c r="D141" s="60">
        <v>470</v>
      </c>
      <c r="E141" s="110">
        <f>Tabela_Fevereiro88[[#This Row],[Até:]]-Tabela_Fevereiro88[[#This Row],[De:]]</f>
        <v>6.8000000000000114</v>
      </c>
      <c r="F141" s="110"/>
      <c r="G141" s="110"/>
      <c r="H141" s="60" t="s">
        <v>89</v>
      </c>
      <c r="I141" s="60"/>
      <c r="J141" s="60"/>
      <c r="K141" s="105">
        <f>Tabela_Fevereiro88[[#This Row],[Até]]-Tabela_Fevereiro88[[#This Row],[De]]</f>
        <v>0</v>
      </c>
      <c r="L141" s="97">
        <v>0.36458333333333331</v>
      </c>
      <c r="M141" s="97">
        <v>0.75</v>
      </c>
      <c r="N141" s="113">
        <f>Tabela_Fevereiro88[[#This Row],[Horário Término]]-Tabela_Fevereiro88[[#This Row],[Horário Inicio]]</f>
        <v>0.38541666666666669</v>
      </c>
      <c r="O141" s="90"/>
      <c r="P141" s="90"/>
      <c r="Q141" s="2"/>
      <c r="R141" s="2"/>
      <c r="S141"/>
    </row>
    <row r="142" spans="1:19" s="61" customFormat="1" x14ac:dyDescent="0.35">
      <c r="A142" s="3"/>
      <c r="B142" s="56"/>
      <c r="C142" s="60">
        <v>470</v>
      </c>
      <c r="D142" s="60">
        <v>472.71</v>
      </c>
      <c r="E142" s="110">
        <f>Tabela_Fevereiro88[[#This Row],[Até:]]-Tabela_Fevereiro88[[#This Row],[De:]]</f>
        <v>2.7099999999999795</v>
      </c>
      <c r="F142" s="110"/>
      <c r="G142" s="110"/>
      <c r="H142" s="60" t="s">
        <v>89</v>
      </c>
      <c r="I142" s="60"/>
      <c r="J142" s="60"/>
      <c r="K142" s="105">
        <f>Tabela_Fevereiro88[[#This Row],[Até]]-Tabela_Fevereiro88[[#This Row],[De]]</f>
        <v>0</v>
      </c>
      <c r="L142" s="97">
        <v>0.75</v>
      </c>
      <c r="M142" s="97">
        <v>0.99305555555555558</v>
      </c>
      <c r="N142" s="113">
        <f>Tabela_Fevereiro88[[#This Row],[Horário Término]]-Tabela_Fevereiro88[[#This Row],[Horário Inicio]]</f>
        <v>0.24305555555555558</v>
      </c>
      <c r="O142" s="90"/>
      <c r="P142" s="90"/>
      <c r="Q142" s="2"/>
      <c r="R142" s="2"/>
      <c r="S142"/>
    </row>
    <row r="143" spans="1:19" s="61" customFormat="1" x14ac:dyDescent="0.35">
      <c r="A143" s="3">
        <v>46195</v>
      </c>
      <c r="B143" s="56"/>
      <c r="C143" s="60">
        <v>472.71</v>
      </c>
      <c r="D143" s="60">
        <v>475</v>
      </c>
      <c r="E143" s="110">
        <f>Tabela_Fevereiro88[[#This Row],[Até:]]-Tabela_Fevereiro88[[#This Row],[De:]]</f>
        <v>2.2900000000000205</v>
      </c>
      <c r="F143" s="110"/>
      <c r="G143" s="110"/>
      <c r="H143" s="60" t="s">
        <v>89</v>
      </c>
      <c r="I143" s="60"/>
      <c r="J143" s="60"/>
      <c r="K143" s="105">
        <f>Tabela_Fevereiro88[[#This Row],[Até]]-Tabela_Fevereiro88[[#This Row],[De]]</f>
        <v>0</v>
      </c>
      <c r="L143" s="97">
        <v>1.0208333333333333</v>
      </c>
      <c r="M143" s="97">
        <v>1.2291666666666667</v>
      </c>
      <c r="N143" s="113">
        <f>Tabela_Fevereiro88[[#This Row],[Horário Término]]-Tabela_Fevereiro88[[#This Row],[Horário Inicio]]</f>
        <v>0.20833333333333348</v>
      </c>
      <c r="O143" s="90"/>
      <c r="P143" s="90"/>
      <c r="Q143" s="2"/>
      <c r="R143" s="2"/>
      <c r="S143"/>
    </row>
    <row r="144" spans="1:19" s="61" customFormat="1" x14ac:dyDescent="0.35">
      <c r="A144" s="3"/>
      <c r="B144" s="56"/>
      <c r="C144" s="60">
        <v>475</v>
      </c>
      <c r="D144" s="60">
        <v>480</v>
      </c>
      <c r="E144" s="110">
        <f>Tabela_Fevereiro88[[#This Row],[Até:]]-Tabela_Fevereiro88[[#This Row],[De:]]</f>
        <v>5</v>
      </c>
      <c r="F144" s="110"/>
      <c r="G144" s="110"/>
      <c r="H144" s="60" t="s">
        <v>89</v>
      </c>
      <c r="I144" s="60"/>
      <c r="J144" s="60"/>
      <c r="K144" s="105">
        <f>Tabela_Fevereiro88[[#This Row],[Até]]-Tabela_Fevereiro88[[#This Row],[De]]</f>
        <v>0</v>
      </c>
      <c r="L144" s="97">
        <v>0.22916666666666666</v>
      </c>
      <c r="M144" s="97">
        <v>0.75347222222222221</v>
      </c>
      <c r="N144" s="113">
        <f>Tabela_Fevereiro88[[#This Row],[Horário Término]]-Tabela_Fevereiro88[[#This Row],[Horário Inicio]]</f>
        <v>0.52430555555555558</v>
      </c>
      <c r="O144" s="90"/>
      <c r="P144" s="90"/>
      <c r="Q144" s="2"/>
      <c r="R144" s="2"/>
      <c r="S144"/>
    </row>
    <row r="145" spans="1:19" s="61" customFormat="1" x14ac:dyDescent="0.35">
      <c r="A145" s="3"/>
      <c r="B145" s="56"/>
      <c r="C145" s="60">
        <v>480</v>
      </c>
      <c r="D145" s="60">
        <v>482.4</v>
      </c>
      <c r="E145" s="110">
        <f>Tabela_Fevereiro88[[#This Row],[Até:]]-Tabela_Fevereiro88[[#This Row],[De:]]</f>
        <v>2.3999999999999773</v>
      </c>
      <c r="F145" s="110"/>
      <c r="G145" s="110"/>
      <c r="H145" s="60" t="s">
        <v>89</v>
      </c>
      <c r="I145" s="60"/>
      <c r="J145" s="60"/>
      <c r="K145" s="105">
        <f>Tabela_Fevereiro88[[#This Row],[Até]]-Tabela_Fevereiro88[[#This Row],[De]]</f>
        <v>0</v>
      </c>
      <c r="L145" s="97">
        <v>0.75347222222222221</v>
      </c>
      <c r="M145" s="97">
        <v>1.0625</v>
      </c>
      <c r="N145" s="113">
        <f>Tabela_Fevereiro88[[#This Row],[Horário Término]]-Tabela_Fevereiro88[[#This Row],[Horário Inicio]]</f>
        <v>0.30902777777777779</v>
      </c>
      <c r="O145" s="90"/>
      <c r="P145" s="90"/>
      <c r="Q145" s="2"/>
      <c r="R145" s="2"/>
      <c r="S145"/>
    </row>
    <row r="146" spans="1:19" s="61" customFormat="1" x14ac:dyDescent="0.35">
      <c r="A146" s="3">
        <v>46196</v>
      </c>
      <c r="B146" s="56"/>
      <c r="C146" s="60">
        <v>482.4</v>
      </c>
      <c r="D146" s="60">
        <v>484</v>
      </c>
      <c r="E146" s="110">
        <f>Tabela_Fevereiro88[[#This Row],[Até:]]-Tabela_Fevereiro88[[#This Row],[De:]]</f>
        <v>1.6000000000000227</v>
      </c>
      <c r="F146" s="110"/>
      <c r="G146" s="110"/>
      <c r="H146" s="60" t="s">
        <v>89</v>
      </c>
      <c r="I146" s="60"/>
      <c r="J146" s="60"/>
      <c r="K146" s="105">
        <f>Tabela_Fevereiro88[[#This Row],[Até]]-Tabela_Fevereiro88[[#This Row],[De]]</f>
        <v>0</v>
      </c>
      <c r="L146" s="97">
        <v>9.0277777777777776E-2</v>
      </c>
      <c r="M146" s="97">
        <v>0.27777777777777779</v>
      </c>
      <c r="N146" s="113">
        <f>Tabela_Fevereiro88[[#This Row],[Horário Término]]-Tabela_Fevereiro88[[#This Row],[Horário Inicio]]</f>
        <v>0.1875</v>
      </c>
      <c r="O146" s="90"/>
      <c r="P146" s="90"/>
      <c r="Q146" s="2"/>
      <c r="R146" s="2"/>
      <c r="S146"/>
    </row>
    <row r="147" spans="1:19" s="61" customFormat="1" x14ac:dyDescent="0.35">
      <c r="A147" s="3"/>
      <c r="B147" s="56"/>
      <c r="C147" s="60">
        <v>484</v>
      </c>
      <c r="D147" s="60">
        <v>484.6</v>
      </c>
      <c r="E147" s="110">
        <f>Tabela_Fevereiro88[[#This Row],[Até:]]-Tabela_Fevereiro88[[#This Row],[De:]]</f>
        <v>0.60000000000002274</v>
      </c>
      <c r="F147" s="110"/>
      <c r="G147" s="110"/>
      <c r="H147" s="60" t="s">
        <v>89</v>
      </c>
      <c r="I147" s="60"/>
      <c r="J147" s="60"/>
      <c r="K147" s="105">
        <f>Tabela_Fevereiro88[[#This Row],[Até]]-Tabela_Fevereiro88[[#This Row],[De]]</f>
        <v>0</v>
      </c>
      <c r="L147" s="97">
        <v>0.27777777777777779</v>
      </c>
      <c r="M147" s="97">
        <v>0.34027777777777779</v>
      </c>
      <c r="N147" s="113">
        <f>Tabela_Fevereiro88[[#This Row],[Horário Término]]-Tabela_Fevereiro88[[#This Row],[Horário Inicio]]</f>
        <v>6.25E-2</v>
      </c>
      <c r="O147" s="90"/>
      <c r="P147" s="90"/>
      <c r="Q147" s="2"/>
      <c r="R147" s="2"/>
      <c r="S147"/>
    </row>
    <row r="148" spans="1:19" s="61" customFormat="1" x14ac:dyDescent="0.35">
      <c r="A148" s="3"/>
      <c r="B148" s="56"/>
      <c r="C148" s="60">
        <v>484.6</v>
      </c>
      <c r="D148" s="60">
        <v>486</v>
      </c>
      <c r="E148" s="110">
        <f>Tabela_Fevereiro88[[#This Row],[Até:]]-Tabela_Fevereiro88[[#This Row],[De:]]</f>
        <v>1.3999999999999773</v>
      </c>
      <c r="F148" s="110"/>
      <c r="G148" s="110"/>
      <c r="H148" s="60" t="s">
        <v>89</v>
      </c>
      <c r="I148" s="60"/>
      <c r="J148" s="60"/>
      <c r="K148" s="105">
        <f>Tabela_Fevereiro88[[#This Row],[Até]]-Tabela_Fevereiro88[[#This Row],[De]]</f>
        <v>0</v>
      </c>
      <c r="L148" s="97">
        <v>0.52777777777777779</v>
      </c>
      <c r="M148" s="97">
        <v>0.72222222222222221</v>
      </c>
      <c r="N148" s="113">
        <f>Tabela_Fevereiro88[[#This Row],[Horário Término]]-Tabela_Fevereiro88[[#This Row],[Horário Inicio]]</f>
        <v>0.19444444444444442</v>
      </c>
      <c r="O148" s="90"/>
      <c r="P148" s="90"/>
      <c r="Q148" s="2"/>
      <c r="R148" s="2"/>
      <c r="S148"/>
    </row>
    <row r="149" spans="1:19" s="61" customFormat="1" x14ac:dyDescent="0.35">
      <c r="A149" s="3"/>
      <c r="B149" s="56"/>
      <c r="C149" s="60">
        <v>486</v>
      </c>
      <c r="D149" s="60">
        <v>490.4</v>
      </c>
      <c r="E149" s="110">
        <f>Tabela_Fevereiro88[[#This Row],[Até:]]-Tabela_Fevereiro88[[#This Row],[De:]]</f>
        <v>4.3999999999999773</v>
      </c>
      <c r="F149" s="110"/>
      <c r="G149" s="110"/>
      <c r="H149" s="60" t="s">
        <v>89</v>
      </c>
      <c r="I149" s="60"/>
      <c r="J149" s="60"/>
      <c r="K149" s="105">
        <f>Tabela_Fevereiro88[[#This Row],[Até]]-Tabela_Fevereiro88[[#This Row],[De]]</f>
        <v>0</v>
      </c>
      <c r="L149" s="97">
        <v>0.72222222222222221</v>
      </c>
      <c r="M149" s="97">
        <v>1.2152777777777777</v>
      </c>
      <c r="N149" s="113">
        <f>Tabela_Fevereiro88[[#This Row],[Horário Término]]-Tabela_Fevereiro88[[#This Row],[Horário Inicio]]</f>
        <v>0.49305555555555547</v>
      </c>
      <c r="O149" s="90"/>
      <c r="P149" s="90"/>
      <c r="Q149" s="2"/>
      <c r="R149" s="2"/>
      <c r="S149" s="136"/>
    </row>
    <row r="150" spans="1:19" s="61" customFormat="1" x14ac:dyDescent="0.35">
      <c r="A150" s="3">
        <v>46197</v>
      </c>
      <c r="B150" s="56"/>
      <c r="C150" s="60">
        <v>490.4</v>
      </c>
      <c r="D150" s="60">
        <v>491.83</v>
      </c>
      <c r="E150" s="110">
        <f>Tabela_Fevereiro88[[#This Row],[Até:]]-Tabela_Fevereiro88[[#This Row],[De:]]</f>
        <v>1.4300000000000068</v>
      </c>
      <c r="F150" s="110"/>
      <c r="G150" s="110"/>
      <c r="H150" s="60" t="s">
        <v>89</v>
      </c>
      <c r="I150" s="60"/>
      <c r="J150" s="60"/>
      <c r="K150" s="105">
        <f>Tabela_Fevereiro88[[#This Row],[Até]]-Tabela_Fevereiro88[[#This Row],[De]]</f>
        <v>0</v>
      </c>
      <c r="L150" s="97">
        <v>0.57638888888888884</v>
      </c>
      <c r="M150" s="97">
        <v>0.76388888888888884</v>
      </c>
      <c r="N150" s="113">
        <f>Tabela_Fevereiro88[[#This Row],[Horário Término]]-Tabela_Fevereiro88[[#This Row],[Horário Inicio]]</f>
        <v>0.1875</v>
      </c>
      <c r="O150" s="146"/>
      <c r="P150" s="90"/>
      <c r="Q150" s="2"/>
      <c r="R150" s="2"/>
      <c r="S150" s="136"/>
    </row>
    <row r="151" spans="1:19" s="61" customFormat="1" x14ac:dyDescent="0.35">
      <c r="A151" s="3"/>
      <c r="B151" s="56"/>
      <c r="C151" s="60">
        <v>491.83</v>
      </c>
      <c r="D151" s="60">
        <v>494</v>
      </c>
      <c r="E151" s="110">
        <f>Tabela_Fevereiro88[[#This Row],[Até:]]-Tabela_Fevereiro88[[#This Row],[De:]]</f>
        <v>2.1700000000000159</v>
      </c>
      <c r="F151" s="110"/>
      <c r="G151" s="110"/>
      <c r="H151" s="60" t="s">
        <v>89</v>
      </c>
      <c r="I151" s="60"/>
      <c r="J151" s="60"/>
      <c r="K151" s="105">
        <f>Tabela_Fevereiro88[[#This Row],[Até]]-Tabela_Fevereiro88[[#This Row],[De]]</f>
        <v>0</v>
      </c>
      <c r="L151" s="97">
        <v>0.79166666666666663</v>
      </c>
      <c r="M151" s="97">
        <v>1.0416666666666667</v>
      </c>
      <c r="N151" s="113">
        <f>Tabela_Fevereiro88[[#This Row],[Horário Término]]-Tabela_Fevereiro88[[#This Row],[Horário Inicio]]</f>
        <v>0.25000000000000011</v>
      </c>
      <c r="O151" s="146"/>
      <c r="P151" s="90"/>
      <c r="Q151" s="2"/>
      <c r="R151" s="2"/>
      <c r="S151" s="136"/>
    </row>
    <row r="152" spans="1:19" s="61" customFormat="1" x14ac:dyDescent="0.35">
      <c r="A152" s="3">
        <v>46198</v>
      </c>
      <c r="B152" s="56"/>
      <c r="C152" s="60">
        <v>494</v>
      </c>
      <c r="D152" s="60">
        <v>500</v>
      </c>
      <c r="E152" s="110">
        <f>Tabela_Fevereiro88[[#This Row],[Até:]]-Tabela_Fevereiro88[[#This Row],[De:]]</f>
        <v>6</v>
      </c>
      <c r="F152" s="110">
        <v>50</v>
      </c>
      <c r="G152" s="110">
        <v>9</v>
      </c>
      <c r="H152" s="60" t="s">
        <v>89</v>
      </c>
      <c r="I152" s="60"/>
      <c r="J152" s="60"/>
      <c r="K152" s="105">
        <f>Tabela_Fevereiro88[[#This Row],[Até]]-Tabela_Fevereiro88[[#This Row],[De]]</f>
        <v>0</v>
      </c>
      <c r="L152" s="97">
        <v>4.1666666666666664E-2</v>
      </c>
      <c r="M152" s="97">
        <v>0.69791666666666663</v>
      </c>
      <c r="N152" s="113">
        <f>Tabela_Fevereiro88[[#This Row],[Horário Término]]-Tabela_Fevereiro88[[#This Row],[Horário Inicio]]</f>
        <v>0.65625</v>
      </c>
      <c r="O152" s="146"/>
      <c r="P152" s="90"/>
      <c r="Q152" s="2"/>
      <c r="R152" s="2"/>
      <c r="S152" s="136"/>
    </row>
    <row r="153" spans="1:19" s="61" customFormat="1" x14ac:dyDescent="0.35">
      <c r="A153" s="3"/>
      <c r="B153" s="56"/>
      <c r="C153" s="60">
        <v>500</v>
      </c>
      <c r="D153" s="60">
        <v>501.7</v>
      </c>
      <c r="E153" s="110">
        <f>Tabela_Fevereiro88[[#This Row],[Até:]]-Tabela_Fevereiro88[[#This Row],[De:]]</f>
        <v>1.6999999999999886</v>
      </c>
      <c r="F153" s="110"/>
      <c r="G153" s="110"/>
      <c r="H153" s="60" t="s">
        <v>89</v>
      </c>
      <c r="I153" s="60"/>
      <c r="J153" s="60"/>
      <c r="K153" s="105">
        <f>Tabela_Fevereiro88[[#This Row],[Até]]-Tabela_Fevereiro88[[#This Row],[De]]</f>
        <v>0</v>
      </c>
      <c r="L153" s="97">
        <v>0.79166666666666663</v>
      </c>
      <c r="M153" s="97">
        <v>0.89583333333333337</v>
      </c>
      <c r="N153" s="113">
        <f>Tabela_Fevereiro88[[#This Row],[Horário Término]]-Tabela_Fevereiro88[[#This Row],[Horário Inicio]]</f>
        <v>0.10416666666666674</v>
      </c>
      <c r="O153" s="146"/>
      <c r="P153" s="90"/>
      <c r="Q153" s="2"/>
      <c r="R153" s="2"/>
      <c r="S153" s="136"/>
    </row>
    <row r="154" spans="1:19" s="61" customFormat="1" x14ac:dyDescent="0.35">
      <c r="A154" s="3"/>
      <c r="B154" s="56"/>
      <c r="C154" s="60">
        <v>501.7</v>
      </c>
      <c r="D154" s="60">
        <v>506.3</v>
      </c>
      <c r="E154" s="110">
        <f>Tabela_Fevereiro88[[#This Row],[Até:]]-Tabela_Fevereiro88[[#This Row],[De:]]</f>
        <v>4.6000000000000227</v>
      </c>
      <c r="F154" s="110"/>
      <c r="G154" s="110"/>
      <c r="H154" s="60" t="s">
        <v>89</v>
      </c>
      <c r="I154" s="60"/>
      <c r="J154" s="60"/>
      <c r="K154" s="105">
        <f>Tabela_Fevereiro88[[#This Row],[Até]]-Tabela_Fevereiro88[[#This Row],[De]]</f>
        <v>0</v>
      </c>
      <c r="L154" s="97">
        <v>0.91666666666666663</v>
      </c>
      <c r="M154" s="97">
        <v>1.3819444444444444</v>
      </c>
      <c r="N154" s="113">
        <f>Tabela_Fevereiro88[[#This Row],[Horário Término]]-Tabela_Fevereiro88[[#This Row],[Horário Inicio]]</f>
        <v>0.46527777777777779</v>
      </c>
      <c r="O154" s="146"/>
      <c r="P154" s="90"/>
      <c r="Q154" s="2"/>
      <c r="R154" s="2">
        <v>267</v>
      </c>
      <c r="S154" s="136"/>
    </row>
    <row r="155" spans="1:19" s="61" customFormat="1" x14ac:dyDescent="0.35">
      <c r="A155" s="3">
        <v>46199</v>
      </c>
      <c r="B155" s="56"/>
      <c r="C155" s="60">
        <v>506.3</v>
      </c>
      <c r="D155" s="60">
        <v>507</v>
      </c>
      <c r="E155" s="110">
        <f>Tabela_Fevereiro88[[#This Row],[Até:]]-Tabela_Fevereiro88[[#This Row],[De:]]</f>
        <v>0.69999999999998863</v>
      </c>
      <c r="F155" s="110"/>
      <c r="G155" s="110"/>
      <c r="H155" s="60" t="s">
        <v>89</v>
      </c>
      <c r="I155" s="60"/>
      <c r="J155" s="60"/>
      <c r="K155" s="105">
        <f>Tabela_Fevereiro88[[#This Row],[Até]]-Tabela_Fevereiro88[[#This Row],[De]]</f>
        <v>0</v>
      </c>
      <c r="L155" s="97">
        <v>0.65972222222222221</v>
      </c>
      <c r="M155" s="97">
        <v>0.73958333333333337</v>
      </c>
      <c r="N155" s="113">
        <f>Tabela_Fevereiro88[[#This Row],[Horário Término]]-Tabela_Fevereiro88[[#This Row],[Horário Inicio]]</f>
        <v>7.986111111111116E-2</v>
      </c>
      <c r="O155" s="146"/>
      <c r="P155" s="90"/>
      <c r="Q155" s="2"/>
      <c r="R155" s="2"/>
      <c r="S155" s="136"/>
    </row>
    <row r="156" spans="1:19" s="61" customFormat="1" x14ac:dyDescent="0.35">
      <c r="A156" s="3"/>
      <c r="B156" s="56"/>
      <c r="C156" s="60">
        <v>507</v>
      </c>
      <c r="D156" s="60">
        <v>509</v>
      </c>
      <c r="E156" s="110">
        <f>Tabela_Fevereiro88[[#This Row],[Até:]]-Tabela_Fevereiro88[[#This Row],[De:]]</f>
        <v>2</v>
      </c>
      <c r="F156" s="110"/>
      <c r="G156" s="110"/>
      <c r="H156" s="60" t="s">
        <v>89</v>
      </c>
      <c r="I156" s="60"/>
      <c r="J156" s="60"/>
      <c r="K156" s="105">
        <f>Tabela_Fevereiro88[[#This Row],[Até]]-Tabela_Fevereiro88[[#This Row],[De]]</f>
        <v>0</v>
      </c>
      <c r="L156" s="97">
        <v>0.73958333333333337</v>
      </c>
      <c r="M156" s="97">
        <v>1</v>
      </c>
      <c r="N156" s="113">
        <f>Tabela_Fevereiro88[[#This Row],[Horário Término]]-Tabela_Fevereiro88[[#This Row],[Horário Inicio]]</f>
        <v>0.26041666666666663</v>
      </c>
      <c r="O156" s="146"/>
      <c r="P156" s="90"/>
      <c r="Q156" s="2"/>
      <c r="R156" s="2"/>
      <c r="S156" s="136"/>
    </row>
    <row r="157" spans="1:19" s="61" customFormat="1" x14ac:dyDescent="0.35">
      <c r="A157" s="3"/>
      <c r="B157" s="56"/>
      <c r="C157" s="60">
        <v>509</v>
      </c>
      <c r="D157" s="60">
        <v>511</v>
      </c>
      <c r="E157" s="110">
        <f>Tabela_Fevereiro88[[#This Row],[Até:]]-Tabela_Fevereiro88[[#This Row],[De:]]</f>
        <v>2</v>
      </c>
      <c r="F157" s="110"/>
      <c r="G157" s="110"/>
      <c r="H157" s="60" t="s">
        <v>89</v>
      </c>
      <c r="I157" s="60"/>
      <c r="J157" s="60"/>
      <c r="K157" s="105">
        <f>Tabela_Fevereiro88[[#This Row],[Até]]-Tabela_Fevereiro88[[#This Row],[De]]</f>
        <v>0</v>
      </c>
      <c r="L157" s="97">
        <v>1</v>
      </c>
      <c r="M157" s="97">
        <v>1.2708333333333333</v>
      </c>
      <c r="N157" s="113">
        <f>Tabela_Fevereiro88[[#This Row],[Horário Término]]-Tabela_Fevereiro88[[#This Row],[Horário Inicio]]</f>
        <v>0.27083333333333326</v>
      </c>
      <c r="O157" s="146"/>
      <c r="P157" s="90"/>
      <c r="Q157" s="2"/>
      <c r="R157" s="2"/>
      <c r="S157"/>
    </row>
    <row r="158" spans="1:19" s="61" customFormat="1" x14ac:dyDescent="0.35">
      <c r="A158" s="3"/>
      <c r="B158" s="56"/>
      <c r="C158" s="60"/>
      <c r="D158" s="60"/>
      <c r="E158" s="110">
        <f>Tabela_Fevereiro88[[#This Row],[Até:]]-Tabela_Fevereiro88[[#This Row],[De:]]</f>
        <v>0</v>
      </c>
      <c r="F158" s="110"/>
      <c r="G158" s="110"/>
      <c r="H158" s="60"/>
      <c r="I158" s="60"/>
      <c r="J158" s="60"/>
      <c r="K158" s="105">
        <f>Tabela_Fevereiro88[[#This Row],[Até]]-Tabela_Fevereiro88[[#This Row],[De]]</f>
        <v>0</v>
      </c>
      <c r="L158" s="97"/>
      <c r="M158" s="97"/>
      <c r="N158" s="113">
        <f>Tabela_Fevereiro88[[#This Row],[Horário Término]]-Tabela_Fevereiro88[[#This Row],[Horário Inicio]]</f>
        <v>0</v>
      </c>
      <c r="O158" s="90"/>
      <c r="P158" s="90"/>
      <c r="Q158" s="2"/>
      <c r="R158" s="2"/>
      <c r="S158"/>
    </row>
    <row r="159" spans="1:19" s="61" customFormat="1" x14ac:dyDescent="0.35">
      <c r="A159" s="3"/>
      <c r="B159" s="56"/>
      <c r="C159" s="60"/>
      <c r="D159" s="60"/>
      <c r="E159" s="110">
        <f>Tabela_Fevereiro88[[#This Row],[Até:]]-Tabela_Fevereiro88[[#This Row],[De:]]</f>
        <v>0</v>
      </c>
      <c r="F159" s="110"/>
      <c r="G159" s="110"/>
      <c r="H159" s="60"/>
      <c r="I159" s="60"/>
      <c r="J159" s="60"/>
      <c r="K159" s="105">
        <f>Tabela_Fevereiro88[[#This Row],[Até]]-Tabela_Fevereiro88[[#This Row],[De]]</f>
        <v>0</v>
      </c>
      <c r="L159" s="97"/>
      <c r="M159" s="97"/>
      <c r="N159" s="113">
        <f>Tabela_Fevereiro88[[#This Row],[Horário Término]]-Tabela_Fevereiro88[[#This Row],[Horário Inicio]]</f>
        <v>0</v>
      </c>
      <c r="O159" s="90"/>
      <c r="P159" s="90"/>
      <c r="Q159" s="2"/>
      <c r="R159" s="2"/>
      <c r="S159"/>
    </row>
    <row r="160" spans="1:19" s="61" customFormat="1" x14ac:dyDescent="0.35">
      <c r="A160" s="3"/>
      <c r="B160" s="56"/>
      <c r="C160" s="60"/>
      <c r="D160" s="60"/>
      <c r="E160" s="110">
        <f>Tabela_Fevereiro88[[#This Row],[Até:]]-Tabela_Fevereiro88[[#This Row],[De:]]</f>
        <v>0</v>
      </c>
      <c r="F160" s="110"/>
      <c r="G160" s="110"/>
      <c r="H160" s="60"/>
      <c r="I160" s="60"/>
      <c r="J160" s="60"/>
      <c r="K160" s="105">
        <f>Tabela_Fevereiro88[[#This Row],[Até]]-Tabela_Fevereiro88[[#This Row],[De]]</f>
        <v>0</v>
      </c>
      <c r="L160" s="97"/>
      <c r="M160" s="97"/>
      <c r="N160" s="113">
        <f>Tabela_Fevereiro88[[#This Row],[Horário Término]]-Tabela_Fevereiro88[[#This Row],[Horário Inicio]]</f>
        <v>0</v>
      </c>
      <c r="O160" s="90"/>
      <c r="P160" s="90"/>
      <c r="Q160" s="2"/>
      <c r="R160" s="2"/>
      <c r="S160"/>
    </row>
    <row r="161" spans="1:19" s="61" customFormat="1" x14ac:dyDescent="0.35">
      <c r="A161" s="3"/>
      <c r="B161" s="56"/>
      <c r="C161" s="60"/>
      <c r="D161" s="60"/>
      <c r="E161" s="110">
        <f>Tabela_Fevereiro88[[#This Row],[Até:]]-Tabela_Fevereiro88[[#This Row],[De:]]</f>
        <v>0</v>
      </c>
      <c r="F161" s="110"/>
      <c r="G161" s="110"/>
      <c r="H161" s="60"/>
      <c r="I161" s="60"/>
      <c r="J161" s="60"/>
      <c r="K161" s="105">
        <f>Tabela_Fevereiro88[[#This Row],[Até]]-Tabela_Fevereiro88[[#This Row],[De]]</f>
        <v>0</v>
      </c>
      <c r="L161" s="97"/>
      <c r="M161" s="97"/>
      <c r="N161" s="113">
        <f>Tabela_Fevereiro88[[#This Row],[Horário Término]]-Tabela_Fevereiro88[[#This Row],[Horário Inicio]]</f>
        <v>0</v>
      </c>
      <c r="O161" s="90"/>
      <c r="P161" s="90"/>
      <c r="Q161" s="2"/>
      <c r="R161" s="2"/>
      <c r="S161"/>
    </row>
    <row r="162" spans="1:19" s="61" customFormat="1" x14ac:dyDescent="0.35">
      <c r="A162" s="3"/>
      <c r="B162" s="56"/>
      <c r="C162" s="60"/>
      <c r="D162" s="60"/>
      <c r="E162" s="110">
        <f>Tabela_Fevereiro88[[#This Row],[Até:]]-Tabela_Fevereiro88[[#This Row],[De:]]</f>
        <v>0</v>
      </c>
      <c r="F162" s="110"/>
      <c r="G162" s="110"/>
      <c r="H162" s="60"/>
      <c r="I162" s="60"/>
      <c r="J162" s="60"/>
      <c r="K162" s="105">
        <f>Tabela_Fevereiro88[[#This Row],[Até]]-Tabela_Fevereiro88[[#This Row],[De]]</f>
        <v>0</v>
      </c>
      <c r="L162" s="97"/>
      <c r="M162" s="97"/>
      <c r="N162" s="113">
        <f>Tabela_Fevereiro88[[#This Row],[Horário Término]]-Tabela_Fevereiro88[[#This Row],[Horário Inicio]]</f>
        <v>0</v>
      </c>
      <c r="O162" s="90"/>
      <c r="P162" s="90"/>
      <c r="Q162" s="2"/>
      <c r="R162" s="2"/>
      <c r="S162"/>
    </row>
    <row r="163" spans="1:19" s="61" customFormat="1" x14ac:dyDescent="0.35">
      <c r="A163" s="3"/>
      <c r="B163" s="56"/>
      <c r="C163" s="60"/>
      <c r="D163" s="60"/>
      <c r="E163" s="110">
        <f>Tabela_Fevereiro88[[#This Row],[Até:]]-Tabela_Fevereiro88[[#This Row],[De:]]</f>
        <v>0</v>
      </c>
      <c r="F163" s="110"/>
      <c r="G163" s="110"/>
      <c r="H163" s="60"/>
      <c r="I163" s="60"/>
      <c r="J163" s="60"/>
      <c r="K163" s="105">
        <f>Tabela_Fevereiro88[[#This Row],[Até]]-Tabela_Fevereiro88[[#This Row],[De]]</f>
        <v>0</v>
      </c>
      <c r="L163" s="97"/>
      <c r="M163" s="97"/>
      <c r="N163" s="113">
        <f>Tabela_Fevereiro88[[#This Row],[Horário Término]]-Tabela_Fevereiro88[[#This Row],[Horário Inicio]]</f>
        <v>0</v>
      </c>
      <c r="O163" s="90"/>
      <c r="P163" s="90"/>
      <c r="Q163" s="2"/>
      <c r="R163" s="2"/>
      <c r="S163"/>
    </row>
    <row r="164" spans="1:19" s="61" customFormat="1" x14ac:dyDescent="0.35">
      <c r="A164" s="3"/>
      <c r="B164" s="56"/>
      <c r="C164" s="60"/>
      <c r="D164" s="60"/>
      <c r="E164" s="110">
        <f>Tabela_Fevereiro88[[#This Row],[Até:]]-Tabela_Fevereiro88[[#This Row],[De:]]</f>
        <v>0</v>
      </c>
      <c r="F164" s="110"/>
      <c r="G164" s="110"/>
      <c r="H164" s="60"/>
      <c r="I164" s="60"/>
      <c r="J164" s="60"/>
      <c r="K164" s="105">
        <f>Tabela_Fevereiro88[[#This Row],[Até]]-Tabela_Fevereiro88[[#This Row],[De]]</f>
        <v>0</v>
      </c>
      <c r="L164" s="97"/>
      <c r="M164" s="97"/>
      <c r="N164" s="113">
        <f>Tabela_Fevereiro88[[#This Row],[Horário Término]]-Tabela_Fevereiro88[[#This Row],[Horário Inicio]]</f>
        <v>0</v>
      </c>
      <c r="O164" s="90"/>
      <c r="P164" s="90"/>
      <c r="Q164" s="2"/>
      <c r="R164" s="2"/>
      <c r="S164"/>
    </row>
    <row r="165" spans="1:19" s="61" customFormat="1" x14ac:dyDescent="0.35">
      <c r="A165" s="3"/>
      <c r="B165" s="56"/>
      <c r="C165" s="60"/>
      <c r="D165" s="60"/>
      <c r="E165" s="110">
        <f>Tabela_Fevereiro88[[#This Row],[Até:]]-Tabela_Fevereiro88[[#This Row],[De:]]</f>
        <v>0</v>
      </c>
      <c r="F165" s="110"/>
      <c r="G165" s="110"/>
      <c r="H165" s="60"/>
      <c r="I165" s="60"/>
      <c r="J165" s="60"/>
      <c r="K165" s="105">
        <f>Tabela_Fevereiro88[[#This Row],[Até]]-Tabela_Fevereiro88[[#This Row],[De]]</f>
        <v>0</v>
      </c>
      <c r="L165" s="97"/>
      <c r="M165" s="97"/>
      <c r="N165" s="113">
        <f>Tabela_Fevereiro88[[#This Row],[Horário Término]]-Tabela_Fevereiro88[[#This Row],[Horário Inicio]]</f>
        <v>0</v>
      </c>
      <c r="O165" s="90"/>
      <c r="P165" s="90"/>
      <c r="Q165" s="2"/>
      <c r="R165" s="2"/>
      <c r="S165"/>
    </row>
    <row r="166" spans="1:19" s="61" customFormat="1" x14ac:dyDescent="0.35">
      <c r="A166" s="3"/>
      <c r="B166" s="56"/>
      <c r="C166" s="60"/>
      <c r="D166" s="60"/>
      <c r="E166" s="110">
        <f>Tabela_Fevereiro88[[#This Row],[Até:]]-Tabela_Fevereiro88[[#This Row],[De:]]</f>
        <v>0</v>
      </c>
      <c r="F166" s="110"/>
      <c r="G166" s="110"/>
      <c r="H166" s="60"/>
      <c r="I166" s="60"/>
      <c r="J166" s="60"/>
      <c r="K166" s="105">
        <f>Tabela_Fevereiro88[[#This Row],[Até]]-Tabela_Fevereiro88[[#This Row],[De]]</f>
        <v>0</v>
      </c>
      <c r="L166" s="97"/>
      <c r="M166" s="97"/>
      <c r="N166" s="113">
        <f>Tabela_Fevereiro88[[#This Row],[Horário Término]]-Tabela_Fevereiro88[[#This Row],[Horário Inicio]]</f>
        <v>0</v>
      </c>
      <c r="O166" s="90"/>
      <c r="P166" s="90"/>
      <c r="Q166" s="2"/>
      <c r="R166" s="2"/>
      <c r="S166"/>
    </row>
    <row r="167" spans="1:19" s="61" customFormat="1" x14ac:dyDescent="0.35">
      <c r="A167" s="3"/>
      <c r="B167" s="56"/>
      <c r="C167" s="60"/>
      <c r="D167" s="60"/>
      <c r="E167" s="110">
        <f>Tabela_Fevereiro88[[#This Row],[Até:]]-Tabela_Fevereiro88[[#This Row],[De:]]</f>
        <v>0</v>
      </c>
      <c r="F167" s="110"/>
      <c r="G167" s="110"/>
      <c r="H167" s="60"/>
      <c r="I167" s="60"/>
      <c r="J167" s="60"/>
      <c r="K167" s="105">
        <f>Tabela_Fevereiro88[[#This Row],[Até]]-Tabela_Fevereiro88[[#This Row],[De]]</f>
        <v>0</v>
      </c>
      <c r="L167" s="97"/>
      <c r="M167" s="97"/>
      <c r="N167" s="113">
        <f>Tabela_Fevereiro88[[#This Row],[Horário Término]]-Tabela_Fevereiro88[[#This Row],[Horário Inicio]]</f>
        <v>0</v>
      </c>
      <c r="O167" s="90"/>
      <c r="P167" s="90"/>
      <c r="Q167" s="2"/>
      <c r="R167" s="2"/>
      <c r="S167"/>
    </row>
    <row r="168" spans="1:19" s="61" customFormat="1" x14ac:dyDescent="0.35">
      <c r="A168" s="3"/>
      <c r="B168" s="56"/>
      <c r="C168" s="60"/>
      <c r="D168" s="60"/>
      <c r="E168" s="110">
        <f>Tabela_Fevereiro88[[#This Row],[Até:]]-Tabela_Fevereiro88[[#This Row],[De:]]</f>
        <v>0</v>
      </c>
      <c r="F168" s="110"/>
      <c r="G168" s="110"/>
      <c r="H168" s="60"/>
      <c r="I168" s="60"/>
      <c r="J168" s="60"/>
      <c r="K168" s="105">
        <f>Tabela_Fevereiro88[[#This Row],[Até]]-Tabela_Fevereiro88[[#This Row],[De]]</f>
        <v>0</v>
      </c>
      <c r="L168" s="97"/>
      <c r="M168" s="97"/>
      <c r="N168" s="113">
        <f>Tabela_Fevereiro88[[#This Row],[Horário Término]]-Tabela_Fevereiro88[[#This Row],[Horário Inicio]]</f>
        <v>0</v>
      </c>
      <c r="O168" s="90"/>
      <c r="P168" s="90"/>
      <c r="Q168" s="2"/>
      <c r="R168" s="2"/>
      <c r="S168"/>
    </row>
    <row r="169" spans="1:19" s="61" customFormat="1" x14ac:dyDescent="0.35">
      <c r="A169" s="3"/>
      <c r="B169" s="56"/>
      <c r="C169" s="60"/>
      <c r="D169" s="60"/>
      <c r="E169" s="110">
        <f>Tabela_Fevereiro88[[#This Row],[Até:]]-Tabela_Fevereiro88[[#This Row],[De:]]</f>
        <v>0</v>
      </c>
      <c r="F169" s="110"/>
      <c r="G169" s="110"/>
      <c r="H169" s="60"/>
      <c r="I169" s="60"/>
      <c r="J169" s="60"/>
      <c r="K169" s="105">
        <f>Tabela_Fevereiro88[[#This Row],[Até]]-Tabela_Fevereiro88[[#This Row],[De]]</f>
        <v>0</v>
      </c>
      <c r="L169" s="97"/>
      <c r="M169" s="97"/>
      <c r="N169" s="113">
        <f>Tabela_Fevereiro88[[#This Row],[Horário Término]]-Tabela_Fevereiro88[[#This Row],[Horário Inicio]]</f>
        <v>0</v>
      </c>
      <c r="O169" s="90"/>
      <c r="P169" s="90"/>
      <c r="Q169" s="2"/>
      <c r="R169" s="2"/>
      <c r="S169"/>
    </row>
    <row r="170" spans="1:19" s="61" customFormat="1" x14ac:dyDescent="0.35">
      <c r="A170" s="3"/>
      <c r="B170" s="56"/>
      <c r="C170" s="60"/>
      <c r="D170" s="60"/>
      <c r="E170" s="110">
        <f>Tabela_Fevereiro88[[#This Row],[Até:]]-Tabela_Fevereiro88[[#This Row],[De:]]</f>
        <v>0</v>
      </c>
      <c r="F170" s="110"/>
      <c r="G170" s="110"/>
      <c r="H170" s="60"/>
      <c r="I170" s="60"/>
      <c r="J170" s="60"/>
      <c r="K170" s="105">
        <f>Tabela_Fevereiro88[[#This Row],[Até]]-Tabela_Fevereiro88[[#This Row],[De]]</f>
        <v>0</v>
      </c>
      <c r="L170" s="97"/>
      <c r="M170" s="97"/>
      <c r="N170" s="113">
        <f>Tabela_Fevereiro88[[#This Row],[Horário Término]]-Tabela_Fevereiro88[[#This Row],[Horário Inicio]]</f>
        <v>0</v>
      </c>
      <c r="O170" s="90"/>
      <c r="P170" s="90"/>
      <c r="Q170" s="2"/>
      <c r="R170" s="2"/>
      <c r="S170"/>
    </row>
    <row r="171" spans="1:19" s="61" customFormat="1" x14ac:dyDescent="0.35">
      <c r="A171" s="3"/>
      <c r="B171" s="56"/>
      <c r="C171" s="60"/>
      <c r="D171" s="60"/>
      <c r="E171" s="110">
        <f>Tabela_Fevereiro88[[#This Row],[Até:]]-Tabela_Fevereiro88[[#This Row],[De:]]</f>
        <v>0</v>
      </c>
      <c r="F171" s="110"/>
      <c r="G171" s="110"/>
      <c r="H171" s="60"/>
      <c r="I171" s="60"/>
      <c r="J171" s="60"/>
      <c r="K171" s="105">
        <f>Tabela_Fevereiro88[[#This Row],[Até]]-Tabela_Fevereiro88[[#This Row],[De]]</f>
        <v>0</v>
      </c>
      <c r="L171" s="97"/>
      <c r="M171" s="97"/>
      <c r="N171" s="113">
        <f>Tabela_Fevereiro88[[#This Row],[Horário Término]]-Tabela_Fevereiro88[[#This Row],[Horário Inicio]]</f>
        <v>0</v>
      </c>
      <c r="O171" s="90"/>
      <c r="P171" s="90"/>
      <c r="Q171" s="2"/>
      <c r="R171" s="2"/>
      <c r="S171"/>
    </row>
    <row r="172" spans="1:19" s="61" customFormat="1" x14ac:dyDescent="0.35">
      <c r="A172" s="3"/>
      <c r="B172" s="56"/>
      <c r="C172" s="60"/>
      <c r="D172" s="60"/>
      <c r="E172" s="110">
        <f>Tabela_Fevereiro88[[#This Row],[Até:]]-Tabela_Fevereiro88[[#This Row],[De:]]</f>
        <v>0</v>
      </c>
      <c r="F172" s="110"/>
      <c r="G172" s="110"/>
      <c r="H172" s="60"/>
      <c r="I172" s="60"/>
      <c r="J172" s="60"/>
      <c r="K172" s="105">
        <f>Tabela_Fevereiro88[[#This Row],[Até]]-Tabela_Fevereiro88[[#This Row],[De]]</f>
        <v>0</v>
      </c>
      <c r="L172" s="97"/>
      <c r="M172" s="97"/>
      <c r="N172" s="113">
        <f>Tabela_Fevereiro88[[#This Row],[Horário Término]]-Tabela_Fevereiro88[[#This Row],[Horário Inicio]]</f>
        <v>0</v>
      </c>
      <c r="O172" s="90"/>
      <c r="P172" s="90"/>
      <c r="Q172" s="2"/>
      <c r="R172" s="2"/>
      <c r="S172"/>
    </row>
    <row r="173" spans="1:19" s="61" customFormat="1" x14ac:dyDescent="0.35">
      <c r="A173" s="3"/>
      <c r="B173" s="56"/>
      <c r="C173" s="60"/>
      <c r="D173" s="60"/>
      <c r="E173" s="110">
        <f>Tabela_Fevereiro88[[#This Row],[Até:]]-Tabela_Fevereiro88[[#This Row],[De:]]</f>
        <v>0</v>
      </c>
      <c r="F173" s="110"/>
      <c r="G173" s="110"/>
      <c r="H173" s="60"/>
      <c r="I173" s="60"/>
      <c r="J173" s="60"/>
      <c r="K173" s="105">
        <f>Tabela_Fevereiro88[[#This Row],[Até]]-Tabela_Fevereiro88[[#This Row],[De]]</f>
        <v>0</v>
      </c>
      <c r="L173" s="97"/>
      <c r="M173" s="97"/>
      <c r="N173" s="113">
        <f>Tabela_Fevereiro88[[#This Row],[Horário Término]]-Tabela_Fevereiro88[[#This Row],[Horário Inicio]]</f>
        <v>0</v>
      </c>
      <c r="O173" s="90"/>
      <c r="P173" s="90"/>
      <c r="Q173" s="2"/>
      <c r="R173" s="2"/>
      <c r="S173"/>
    </row>
    <row r="174" spans="1:19" s="61" customFormat="1" x14ac:dyDescent="0.35">
      <c r="A174" s="3"/>
      <c r="B174" s="56"/>
      <c r="C174" s="60"/>
      <c r="D174" s="60"/>
      <c r="E174" s="110">
        <f>Tabela_Fevereiro88[[#This Row],[Até:]]-Tabela_Fevereiro88[[#This Row],[De:]]</f>
        <v>0</v>
      </c>
      <c r="F174" s="110"/>
      <c r="G174" s="110"/>
      <c r="H174" s="60"/>
      <c r="I174" s="60"/>
      <c r="J174" s="60"/>
      <c r="K174" s="105">
        <f>Tabela_Fevereiro88[[#This Row],[Até]]-Tabela_Fevereiro88[[#This Row],[De]]</f>
        <v>0</v>
      </c>
      <c r="L174" s="97"/>
      <c r="M174" s="97"/>
      <c r="N174" s="113">
        <f>Tabela_Fevereiro88[[#This Row],[Horário Término]]-Tabela_Fevereiro88[[#This Row],[Horário Inicio]]</f>
        <v>0</v>
      </c>
      <c r="O174" s="90"/>
      <c r="P174" s="90"/>
      <c r="Q174" s="2"/>
      <c r="R174" s="2"/>
      <c r="S174"/>
    </row>
    <row r="175" spans="1:19" s="61" customFormat="1" x14ac:dyDescent="0.35">
      <c r="A175" s="3"/>
      <c r="B175" s="56"/>
      <c r="C175" s="60"/>
      <c r="D175" s="60"/>
      <c r="E175" s="110">
        <f>Tabela_Fevereiro88[[#This Row],[Até:]]-Tabela_Fevereiro88[[#This Row],[De:]]</f>
        <v>0</v>
      </c>
      <c r="F175" s="110"/>
      <c r="G175" s="110"/>
      <c r="H175" s="60"/>
      <c r="I175" s="60"/>
      <c r="J175" s="60"/>
      <c r="K175" s="105">
        <f>Tabela_Fevereiro88[[#This Row],[Até]]-Tabela_Fevereiro88[[#This Row],[De]]</f>
        <v>0</v>
      </c>
      <c r="L175" s="97"/>
      <c r="M175" s="97"/>
      <c r="N175" s="113">
        <f>Tabela_Fevereiro88[[#This Row],[Horário Término]]-Tabela_Fevereiro88[[#This Row],[Horário Inicio]]</f>
        <v>0</v>
      </c>
      <c r="O175" s="90"/>
      <c r="P175" s="90"/>
      <c r="Q175" s="2"/>
      <c r="R175" s="2"/>
      <c r="S175"/>
    </row>
    <row r="176" spans="1:19" s="61" customFormat="1" x14ac:dyDescent="0.35">
      <c r="A176" s="3"/>
      <c r="B176" s="56"/>
      <c r="C176" s="60"/>
      <c r="D176" s="60"/>
      <c r="E176" s="110">
        <f>Tabela_Fevereiro88[[#This Row],[Até:]]-Tabela_Fevereiro88[[#This Row],[De:]]</f>
        <v>0</v>
      </c>
      <c r="F176" s="110"/>
      <c r="G176" s="110"/>
      <c r="H176" s="60"/>
      <c r="I176" s="60"/>
      <c r="J176" s="60"/>
      <c r="K176" s="105">
        <f>Tabela_Fevereiro88[[#This Row],[Até]]-Tabela_Fevereiro88[[#This Row],[De]]</f>
        <v>0</v>
      </c>
      <c r="L176" s="97"/>
      <c r="M176" s="97"/>
      <c r="N176" s="113">
        <f>Tabela_Fevereiro88[[#This Row],[Horário Término]]-Tabela_Fevereiro88[[#This Row],[Horário Inicio]]</f>
        <v>0</v>
      </c>
      <c r="O176" s="90"/>
      <c r="P176" s="90"/>
      <c r="Q176" s="2"/>
      <c r="R176" s="2"/>
      <c r="S176"/>
    </row>
    <row r="177" spans="1:68" s="61" customFormat="1" x14ac:dyDescent="0.35">
      <c r="A177" s="3"/>
      <c r="B177" s="56"/>
      <c r="C177" s="60"/>
      <c r="D177" s="60"/>
      <c r="E177" s="110">
        <f>Tabela_Fevereiro88[[#This Row],[Até:]]-Tabela_Fevereiro88[[#This Row],[De:]]</f>
        <v>0</v>
      </c>
      <c r="F177" s="110"/>
      <c r="G177" s="110"/>
      <c r="H177" s="60"/>
      <c r="I177" s="60"/>
      <c r="J177" s="60"/>
      <c r="K177" s="105">
        <f>Tabela_Fevereiro88[[#This Row],[Até]]-Tabela_Fevereiro88[[#This Row],[De]]</f>
        <v>0</v>
      </c>
      <c r="L177" s="97"/>
      <c r="M177" s="97"/>
      <c r="N177" s="113">
        <f>Tabela_Fevereiro88[[#This Row],[Horário Término]]-Tabela_Fevereiro88[[#This Row],[Horário Inicio]]</f>
        <v>0</v>
      </c>
      <c r="O177" s="90"/>
      <c r="P177" s="90"/>
      <c r="Q177" s="2"/>
      <c r="R177" s="2"/>
      <c r="S177"/>
    </row>
    <row r="178" spans="1:68" s="61" customFormat="1" x14ac:dyDescent="0.35">
      <c r="A178" s="3"/>
      <c r="B178" s="56"/>
      <c r="C178" s="60"/>
      <c r="D178" s="60"/>
      <c r="E178" s="110">
        <f>Tabela_Fevereiro88[[#This Row],[Até:]]-Tabela_Fevereiro88[[#This Row],[De:]]</f>
        <v>0</v>
      </c>
      <c r="F178" s="110"/>
      <c r="G178" s="110"/>
      <c r="H178" s="60"/>
      <c r="I178" s="60"/>
      <c r="J178" s="60"/>
      <c r="K178" s="105">
        <f>Tabela_Fevereiro88[[#This Row],[Até]]-Tabela_Fevereiro88[[#This Row],[De]]</f>
        <v>0</v>
      </c>
      <c r="L178" s="97"/>
      <c r="M178" s="97"/>
      <c r="N178" s="113">
        <f>Tabela_Fevereiro88[[#This Row],[Horário Término]]-Tabela_Fevereiro88[[#This Row],[Horário Inicio]]</f>
        <v>0</v>
      </c>
      <c r="O178" s="90"/>
      <c r="P178" s="90"/>
      <c r="Q178" s="2"/>
      <c r="R178" s="2"/>
      <c r="S178"/>
    </row>
    <row r="179" spans="1:68" s="61" customFormat="1" x14ac:dyDescent="0.35">
      <c r="A179" s="3"/>
      <c r="B179" s="56"/>
      <c r="C179" s="60"/>
      <c r="D179" s="60"/>
      <c r="E179" s="110">
        <f>Tabela_Fevereiro88[[#This Row],[Até:]]-Tabela_Fevereiro88[[#This Row],[De:]]</f>
        <v>0</v>
      </c>
      <c r="F179" s="110"/>
      <c r="G179" s="110"/>
      <c r="H179" s="60"/>
      <c r="I179" s="60"/>
      <c r="J179" s="60"/>
      <c r="K179" s="105">
        <f>Tabela_Fevereiro88[[#This Row],[Até]]-Tabela_Fevereiro88[[#This Row],[De]]</f>
        <v>0</v>
      </c>
      <c r="L179" s="97"/>
      <c r="M179" s="97"/>
      <c r="N179" s="113">
        <f>Tabela_Fevereiro88[[#This Row],[Horário Término]]-Tabela_Fevereiro88[[#This Row],[Horário Inicio]]</f>
        <v>0</v>
      </c>
      <c r="O179" s="90"/>
      <c r="P179" s="90"/>
      <c r="Q179" s="2"/>
      <c r="R179" s="2"/>
      <c r="S179"/>
    </row>
    <row r="180" spans="1:68" s="61" customFormat="1" x14ac:dyDescent="0.35">
      <c r="A180" s="3"/>
      <c r="B180" s="56"/>
      <c r="C180" s="60"/>
      <c r="D180" s="60"/>
      <c r="E180" s="110">
        <f>Tabela_Fevereiro88[[#This Row],[Até:]]-Tabela_Fevereiro88[[#This Row],[De:]]</f>
        <v>0</v>
      </c>
      <c r="F180" s="110"/>
      <c r="G180" s="110"/>
      <c r="H180" s="60"/>
      <c r="I180" s="60"/>
      <c r="J180" s="60"/>
      <c r="K180" s="105">
        <f>Tabela_Fevereiro88[[#This Row],[Até]]-Tabela_Fevereiro88[[#This Row],[De]]</f>
        <v>0</v>
      </c>
      <c r="L180" s="97"/>
      <c r="M180" s="97"/>
      <c r="N180" s="113">
        <f>Tabela_Fevereiro88[[#This Row],[Horário Término]]-Tabela_Fevereiro88[[#This Row],[Horário Inicio]]</f>
        <v>0</v>
      </c>
      <c r="O180" s="90"/>
      <c r="P180" s="90"/>
      <c r="Q180" s="2"/>
      <c r="R180" s="2"/>
      <c r="S180"/>
    </row>
    <row r="181" spans="1:68" s="61" customFormat="1" x14ac:dyDescent="0.35">
      <c r="A181" s="3"/>
      <c r="B181" s="56"/>
      <c r="C181" s="60"/>
      <c r="D181" s="60"/>
      <c r="E181" s="110">
        <f>Tabela_Fevereiro88[[#This Row],[Até:]]-Tabela_Fevereiro88[[#This Row],[De:]]</f>
        <v>0</v>
      </c>
      <c r="F181" s="110"/>
      <c r="G181" s="110"/>
      <c r="H181" s="60"/>
      <c r="I181" s="60"/>
      <c r="J181" s="60"/>
      <c r="K181" s="105">
        <f>Tabela_Fevereiro88[[#This Row],[Até]]-Tabela_Fevereiro88[[#This Row],[De]]</f>
        <v>0</v>
      </c>
      <c r="L181" s="97"/>
      <c r="M181" s="97"/>
      <c r="N181" s="113">
        <f>Tabela_Fevereiro88[[#This Row],[Horário Término]]-Tabela_Fevereiro88[[#This Row],[Horário Inicio]]</f>
        <v>0</v>
      </c>
      <c r="O181" s="90"/>
      <c r="P181" s="90"/>
      <c r="Q181" s="2"/>
      <c r="R181" s="2"/>
      <c r="S181"/>
    </row>
    <row r="182" spans="1:68" s="147" customFormat="1" x14ac:dyDescent="0.35">
      <c r="A182" s="3"/>
      <c r="B182" s="56"/>
      <c r="C182" s="60"/>
      <c r="D182" s="60"/>
      <c r="E182" s="110">
        <f>Tabela_Fevereiro88[[#This Row],[Até:]]-Tabela_Fevereiro88[[#This Row],[De:]]</f>
        <v>0</v>
      </c>
      <c r="F182" s="110"/>
      <c r="G182" s="110"/>
      <c r="H182" s="60"/>
      <c r="I182" s="60"/>
      <c r="J182" s="60"/>
      <c r="K182" s="105">
        <f>Tabela_Fevereiro88[[#This Row],[Até]]-Tabela_Fevereiro88[[#This Row],[De]]</f>
        <v>0</v>
      </c>
      <c r="L182" s="97"/>
      <c r="M182" s="97"/>
      <c r="N182" s="113">
        <f>Tabela_Fevereiro88[[#This Row],[Horário Término]]-Tabela_Fevereiro88[[#This Row],[Horário Inicio]]</f>
        <v>0</v>
      </c>
      <c r="O182" s="90"/>
      <c r="P182" s="90"/>
      <c r="Q182" s="2"/>
      <c r="R182" s="2"/>
      <c r="S182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  <c r="AH182" s="61"/>
      <c r="AI182" s="61"/>
      <c r="AJ182" s="61"/>
      <c r="AK182" s="61"/>
      <c r="AL182" s="61"/>
      <c r="AM182" s="61"/>
      <c r="AN182" s="61"/>
      <c r="AO182" s="61"/>
      <c r="AP182" s="61"/>
      <c r="AQ182" s="61"/>
      <c r="AR182" s="61"/>
      <c r="AS182" s="61"/>
      <c r="AT182" s="61"/>
      <c r="AU182" s="61"/>
      <c r="AV182" s="61"/>
      <c r="AW182" s="61"/>
      <c r="AX182" s="61"/>
      <c r="AY182" s="61"/>
      <c r="AZ182" s="61"/>
      <c r="BA182" s="61"/>
      <c r="BB182" s="61"/>
      <c r="BC182" s="61"/>
      <c r="BD182" s="61"/>
      <c r="BE182" s="61"/>
      <c r="BF182" s="61"/>
      <c r="BG182" s="61"/>
      <c r="BH182" s="61"/>
      <c r="BI182" s="61"/>
      <c r="BJ182" s="61"/>
      <c r="BK182" s="61"/>
      <c r="BL182" s="61"/>
      <c r="BM182" s="61"/>
      <c r="BN182" s="61"/>
      <c r="BO182" s="61"/>
      <c r="BP182" s="61"/>
    </row>
    <row r="183" spans="1:68" s="61" customFormat="1" x14ac:dyDescent="0.35">
      <c r="A183" s="3"/>
      <c r="B183" s="56"/>
      <c r="C183" s="60"/>
      <c r="D183" s="60"/>
      <c r="E183" s="110">
        <f>Tabela_Fevereiro88[[#This Row],[Até:]]-Tabela_Fevereiro88[[#This Row],[De:]]</f>
        <v>0</v>
      </c>
      <c r="F183" s="110"/>
      <c r="G183" s="110"/>
      <c r="H183" s="60"/>
      <c r="I183" s="60"/>
      <c r="J183" s="60"/>
      <c r="K183" s="105">
        <f>Tabela_Fevereiro88[[#This Row],[Até]]-Tabela_Fevereiro88[[#This Row],[De]]</f>
        <v>0</v>
      </c>
      <c r="L183" s="97"/>
      <c r="M183" s="97"/>
      <c r="N183" s="113">
        <f>Tabela_Fevereiro88[[#This Row],[Horário Término]]-Tabela_Fevereiro88[[#This Row],[Horário Inicio]]</f>
        <v>0</v>
      </c>
      <c r="O183" s="90"/>
      <c r="P183" s="90"/>
      <c r="Q183" s="2"/>
      <c r="R183" s="2"/>
      <c r="S183"/>
    </row>
    <row r="184" spans="1:68" s="61" customFormat="1" x14ac:dyDescent="0.35">
      <c r="A184" s="3"/>
      <c r="B184" s="56"/>
      <c r="C184" s="60"/>
      <c r="D184" s="60"/>
      <c r="E184" s="110">
        <f>Tabela_Fevereiro88[[#This Row],[Até:]]-Tabela_Fevereiro88[[#This Row],[De:]]</f>
        <v>0</v>
      </c>
      <c r="F184" s="110"/>
      <c r="G184" s="110"/>
      <c r="H184" s="60"/>
      <c r="I184" s="60"/>
      <c r="J184" s="60"/>
      <c r="K184" s="105">
        <f>Tabela_Fevereiro88[[#This Row],[Até]]-Tabela_Fevereiro88[[#This Row],[De]]</f>
        <v>0</v>
      </c>
      <c r="L184" s="97"/>
      <c r="M184" s="97"/>
      <c r="N184" s="113">
        <f>Tabela_Fevereiro88[[#This Row],[Horário Término]]-Tabela_Fevereiro88[[#This Row],[Horário Inicio]]</f>
        <v>0</v>
      </c>
      <c r="O184" s="90"/>
      <c r="P184" s="90"/>
      <c r="Q184" s="2"/>
      <c r="R184" s="2"/>
      <c r="S184"/>
    </row>
    <row r="185" spans="1:68" s="61" customFormat="1" x14ac:dyDescent="0.35">
      <c r="A185" s="3"/>
      <c r="B185" s="56"/>
      <c r="C185" s="60"/>
      <c r="D185" s="60"/>
      <c r="E185" s="110">
        <f>Tabela_Fevereiro88[[#This Row],[Até:]]-Tabela_Fevereiro88[[#This Row],[De:]]</f>
        <v>0</v>
      </c>
      <c r="F185" s="110"/>
      <c r="G185" s="110"/>
      <c r="H185" s="60"/>
      <c r="I185" s="60"/>
      <c r="J185" s="60"/>
      <c r="K185" s="105">
        <f>Tabela_Fevereiro88[[#This Row],[Até]]-Tabela_Fevereiro88[[#This Row],[De]]</f>
        <v>0</v>
      </c>
      <c r="L185" s="97"/>
      <c r="M185" s="97"/>
      <c r="N185" s="113">
        <f>Tabela_Fevereiro88[[#This Row],[Horário Término]]-Tabela_Fevereiro88[[#This Row],[Horário Inicio]]</f>
        <v>0</v>
      </c>
      <c r="O185" s="90"/>
      <c r="P185" s="90"/>
      <c r="Q185" s="2"/>
      <c r="R185" s="2"/>
      <c r="S185"/>
    </row>
    <row r="186" spans="1:68" s="61" customFormat="1" x14ac:dyDescent="0.35">
      <c r="A186" s="3"/>
      <c r="B186" s="56"/>
      <c r="C186" s="60"/>
      <c r="D186" s="60"/>
      <c r="E186" s="110">
        <f>Tabela_Fevereiro88[[#This Row],[Até:]]-Tabela_Fevereiro88[[#This Row],[De:]]</f>
        <v>0</v>
      </c>
      <c r="F186" s="110"/>
      <c r="G186" s="110"/>
      <c r="H186" s="60"/>
      <c r="I186" s="60"/>
      <c r="J186" s="60"/>
      <c r="K186" s="105">
        <f>Tabela_Fevereiro88[[#This Row],[Até]]-Tabela_Fevereiro88[[#This Row],[De]]</f>
        <v>0</v>
      </c>
      <c r="L186" s="97"/>
      <c r="M186" s="97"/>
      <c r="N186" s="113">
        <f>Tabela_Fevereiro88[[#This Row],[Horário Término]]-Tabela_Fevereiro88[[#This Row],[Horário Inicio]]</f>
        <v>0</v>
      </c>
      <c r="O186" s="90"/>
      <c r="P186" s="90"/>
      <c r="Q186" s="2"/>
      <c r="R186" s="2"/>
      <c r="S186"/>
    </row>
    <row r="187" spans="1:68" s="61" customFormat="1" x14ac:dyDescent="0.35">
      <c r="A187" s="3"/>
      <c r="B187" s="56"/>
      <c r="C187" s="60"/>
      <c r="D187" s="60"/>
      <c r="E187" s="110">
        <f>Tabela_Fevereiro88[[#This Row],[Até:]]-Tabela_Fevereiro88[[#This Row],[De:]]</f>
        <v>0</v>
      </c>
      <c r="F187" s="110"/>
      <c r="G187" s="110"/>
      <c r="H187" s="60"/>
      <c r="I187" s="60"/>
      <c r="J187" s="60"/>
      <c r="K187" s="105">
        <f>Tabela_Fevereiro88[[#This Row],[Até]]-Tabela_Fevereiro88[[#This Row],[De]]</f>
        <v>0</v>
      </c>
      <c r="L187" s="97"/>
      <c r="M187" s="97"/>
      <c r="N187" s="113">
        <f>Tabela_Fevereiro88[[#This Row],[Horário Término]]-Tabela_Fevereiro88[[#This Row],[Horário Inicio]]</f>
        <v>0</v>
      </c>
      <c r="O187" s="90"/>
      <c r="P187" s="90"/>
      <c r="Q187" s="2"/>
      <c r="R187" s="2"/>
      <c r="S187"/>
    </row>
    <row r="188" spans="1:68" s="61" customFormat="1" x14ac:dyDescent="0.35">
      <c r="A188" s="3"/>
      <c r="B188" s="56"/>
      <c r="C188" s="60"/>
      <c r="D188" s="60"/>
      <c r="E188" s="110">
        <f>Tabela_Fevereiro88[[#This Row],[Até:]]-Tabela_Fevereiro88[[#This Row],[De:]]</f>
        <v>0</v>
      </c>
      <c r="F188" s="110"/>
      <c r="G188" s="110"/>
      <c r="H188" s="60"/>
      <c r="I188" s="60"/>
      <c r="J188" s="60"/>
      <c r="K188" s="105">
        <f>Tabela_Fevereiro88[[#This Row],[Até]]-Tabela_Fevereiro88[[#This Row],[De]]</f>
        <v>0</v>
      </c>
      <c r="L188" s="97"/>
      <c r="M188" s="97"/>
      <c r="N188" s="113">
        <f>Tabela_Fevereiro88[[#This Row],[Horário Término]]-Tabela_Fevereiro88[[#This Row],[Horário Inicio]]</f>
        <v>0</v>
      </c>
      <c r="O188" s="90"/>
      <c r="P188" s="90"/>
      <c r="Q188" s="2"/>
      <c r="R188" s="2"/>
      <c r="S188"/>
    </row>
    <row r="189" spans="1:68" s="61" customFormat="1" x14ac:dyDescent="0.35">
      <c r="A189" s="3"/>
      <c r="B189" s="56"/>
      <c r="C189" s="60"/>
      <c r="D189" s="60"/>
      <c r="E189" s="110">
        <f>Tabela_Fevereiro88[[#This Row],[Até:]]-Tabela_Fevereiro88[[#This Row],[De:]]</f>
        <v>0</v>
      </c>
      <c r="F189" s="110"/>
      <c r="G189" s="110"/>
      <c r="H189" s="60"/>
      <c r="I189" s="60"/>
      <c r="J189" s="60"/>
      <c r="K189" s="105">
        <f>Tabela_Fevereiro88[[#This Row],[Até]]-Tabela_Fevereiro88[[#This Row],[De]]</f>
        <v>0</v>
      </c>
      <c r="L189" s="97"/>
      <c r="M189" s="97"/>
      <c r="N189" s="113">
        <f>Tabela_Fevereiro88[[#This Row],[Horário Término]]-Tabela_Fevereiro88[[#This Row],[Horário Inicio]]</f>
        <v>0</v>
      </c>
      <c r="O189" s="90"/>
      <c r="P189" s="90"/>
      <c r="Q189" s="2"/>
      <c r="R189" s="2"/>
      <c r="S189"/>
    </row>
    <row r="190" spans="1:68" s="61" customFormat="1" x14ac:dyDescent="0.35">
      <c r="A190" s="3"/>
      <c r="B190" s="56"/>
      <c r="C190" s="60"/>
      <c r="D190" s="60"/>
      <c r="E190" s="110">
        <f>Tabela_Fevereiro88[[#This Row],[Até:]]-Tabela_Fevereiro88[[#This Row],[De:]]</f>
        <v>0</v>
      </c>
      <c r="F190" s="110"/>
      <c r="G190" s="110"/>
      <c r="H190" s="60"/>
      <c r="I190" s="60"/>
      <c r="J190" s="60"/>
      <c r="K190" s="105">
        <f>Tabela_Fevereiro88[[#This Row],[Até]]-Tabela_Fevereiro88[[#This Row],[De]]</f>
        <v>0</v>
      </c>
      <c r="L190" s="97"/>
      <c r="M190" s="97"/>
      <c r="N190" s="113">
        <f>Tabela_Fevereiro88[[#This Row],[Horário Término]]-Tabela_Fevereiro88[[#This Row],[Horário Inicio]]</f>
        <v>0</v>
      </c>
      <c r="O190" s="90"/>
      <c r="P190" s="90"/>
      <c r="Q190" s="2"/>
      <c r="R190" s="2"/>
      <c r="S190"/>
    </row>
    <row r="191" spans="1:68" s="61" customFormat="1" x14ac:dyDescent="0.35">
      <c r="A191" s="3"/>
      <c r="B191" s="56"/>
      <c r="C191" s="60"/>
      <c r="D191" s="60"/>
      <c r="E191" s="110">
        <f>Tabela_Fevereiro88[[#This Row],[Até:]]-Tabela_Fevereiro88[[#This Row],[De:]]</f>
        <v>0</v>
      </c>
      <c r="F191" s="110"/>
      <c r="G191" s="110"/>
      <c r="H191" s="60"/>
      <c r="I191" s="60"/>
      <c r="J191" s="60"/>
      <c r="K191" s="105">
        <f>Tabela_Fevereiro88[[#This Row],[Até]]-Tabela_Fevereiro88[[#This Row],[De]]</f>
        <v>0</v>
      </c>
      <c r="L191" s="97"/>
      <c r="M191" s="97"/>
      <c r="N191" s="113">
        <f>Tabela_Fevereiro88[[#This Row],[Horário Término]]-Tabela_Fevereiro88[[#This Row],[Horário Inicio]]</f>
        <v>0</v>
      </c>
      <c r="O191" s="90"/>
      <c r="P191" s="90"/>
      <c r="Q191" s="2"/>
      <c r="R191" s="2"/>
      <c r="S191"/>
    </row>
    <row r="192" spans="1:68" s="61" customFormat="1" x14ac:dyDescent="0.35">
      <c r="A192" s="3"/>
      <c r="B192" s="56"/>
      <c r="C192" s="60"/>
      <c r="D192" s="60"/>
      <c r="E192" s="110">
        <f>Tabela_Fevereiro88[[#This Row],[Até:]]-Tabela_Fevereiro88[[#This Row],[De:]]</f>
        <v>0</v>
      </c>
      <c r="F192" s="110"/>
      <c r="G192" s="110"/>
      <c r="H192" s="60"/>
      <c r="I192" s="60"/>
      <c r="J192" s="60"/>
      <c r="K192" s="105">
        <f>Tabela_Fevereiro88[[#This Row],[Até]]-Tabela_Fevereiro88[[#This Row],[De]]</f>
        <v>0</v>
      </c>
      <c r="L192" s="97"/>
      <c r="M192" s="97"/>
      <c r="N192" s="113">
        <f>Tabela_Fevereiro88[[#This Row],[Horário Término]]-Tabela_Fevereiro88[[#This Row],[Horário Inicio]]</f>
        <v>0</v>
      </c>
      <c r="O192" s="90"/>
      <c r="P192" s="90"/>
      <c r="Q192" s="2"/>
      <c r="R192" s="2"/>
      <c r="S192"/>
    </row>
    <row r="193" spans="1:19" s="61" customFormat="1" x14ac:dyDescent="0.35">
      <c r="A193" s="3"/>
      <c r="B193" s="56"/>
      <c r="C193" s="60"/>
      <c r="D193" s="60"/>
      <c r="E193" s="110"/>
      <c r="F193" s="110"/>
      <c r="G193" s="110"/>
      <c r="H193" s="60"/>
      <c r="I193" s="60"/>
      <c r="J193" s="60"/>
      <c r="K193" s="105"/>
      <c r="L193" s="97"/>
      <c r="M193" s="97"/>
      <c r="N193" s="113"/>
      <c r="O193" s="90"/>
      <c r="P193" s="90"/>
      <c r="Q193" s="2"/>
      <c r="R193" s="2"/>
      <c r="S193"/>
    </row>
    <row r="194" spans="1:19" s="61" customFormat="1" x14ac:dyDescent="0.35">
      <c r="A194" s="3"/>
      <c r="B194" s="56"/>
      <c r="C194" s="60"/>
      <c r="D194" s="60"/>
      <c r="E194" s="111">
        <f>SUM(E4:E178)</f>
        <v>511.3</v>
      </c>
      <c r="F194" s="110"/>
      <c r="G194" s="110"/>
      <c r="H194" s="60"/>
      <c r="I194" s="60"/>
      <c r="J194" s="60"/>
      <c r="K194" s="106">
        <f>SUM(K4:K192)</f>
        <v>0</v>
      </c>
      <c r="L194" s="97"/>
      <c r="M194" s="97"/>
      <c r="N194" s="113">
        <f>SUM(N4:N192)</f>
        <v>25.829861111111114</v>
      </c>
      <c r="O194" s="118">
        <f>SUM(O4:O192)</f>
        <v>0</v>
      </c>
      <c r="P194" s="118">
        <f>SUM(P4:P192)</f>
        <v>3.0347222222222223</v>
      </c>
      <c r="Q194" s="2"/>
      <c r="R194" s="2"/>
      <c r="S194"/>
    </row>
    <row r="195" spans="1:19" s="61" customFormat="1" x14ac:dyDescent="0.35">
      <c r="A195" s="3"/>
      <c r="B195" s="56"/>
      <c r="C195" s="60"/>
      <c r="D195" s="60"/>
      <c r="E195" s="110"/>
      <c r="F195" s="110"/>
      <c r="G195" s="110"/>
      <c r="H195" s="60"/>
      <c r="I195" s="60"/>
      <c r="J195" s="60"/>
      <c r="K195" s="105"/>
      <c r="L195" s="97"/>
      <c r="M195" s="97"/>
      <c r="N195" s="113"/>
      <c r="O195" s="90"/>
      <c r="P195" s="90"/>
      <c r="Q195" s="2"/>
      <c r="R195" s="2"/>
      <c r="S195"/>
    </row>
    <row r="196" spans="1:19" s="61" customFormat="1" x14ac:dyDescent="0.35">
      <c r="A196" s="3"/>
      <c r="B196" s="56"/>
      <c r="C196" s="60"/>
      <c r="D196" s="60"/>
      <c r="E196" s="110"/>
      <c r="F196" s="110"/>
      <c r="G196" s="110"/>
      <c r="H196" s="60"/>
      <c r="I196" s="60"/>
      <c r="J196" s="60"/>
      <c r="K196" s="105"/>
      <c r="L196" s="97"/>
      <c r="M196" s="97"/>
      <c r="N196" s="113"/>
      <c r="O196" s="90"/>
      <c r="P196" s="90"/>
      <c r="Q196" s="2"/>
      <c r="R196" s="2"/>
      <c r="S196"/>
    </row>
    <row r="197" spans="1:19" s="61" customFormat="1" x14ac:dyDescent="0.35">
      <c r="A197" s="3"/>
      <c r="B197" s="56"/>
      <c r="C197" s="60"/>
      <c r="D197" s="60"/>
      <c r="E197" s="110"/>
      <c r="F197" s="110"/>
      <c r="G197" s="110"/>
      <c r="H197" s="143"/>
      <c r="I197" s="60"/>
      <c r="J197" s="144"/>
      <c r="K197" s="105"/>
      <c r="L197" s="97"/>
      <c r="M197" s="145"/>
      <c r="N197" s="113"/>
      <c r="O197" s="146"/>
      <c r="P197" s="90"/>
      <c r="Q197" s="2"/>
      <c r="R197" s="2"/>
      <c r="S197"/>
    </row>
    <row r="198" spans="1:19" x14ac:dyDescent="0.35">
      <c r="A198" s="3"/>
      <c r="B198" s="2"/>
      <c r="C198" s="60"/>
      <c r="D198" s="60"/>
      <c r="E198" s="110"/>
      <c r="F198" s="110"/>
      <c r="G198" s="110"/>
      <c r="H198" s="60"/>
      <c r="I198" s="60"/>
      <c r="J198" s="60"/>
      <c r="K198" s="105"/>
      <c r="L198" s="2"/>
      <c r="M198" s="6"/>
      <c r="N198" s="113"/>
      <c r="O198" s="90"/>
      <c r="P198" s="90"/>
      <c r="Q198" s="2"/>
      <c r="R198" s="2"/>
    </row>
    <row r="199" spans="1:19" x14ac:dyDescent="0.35">
      <c r="A199" s="3"/>
      <c r="B199" s="2"/>
      <c r="C199" s="60"/>
      <c r="D199" s="60"/>
      <c r="E199" s="110"/>
      <c r="F199" s="110"/>
      <c r="G199" s="110"/>
      <c r="H199" s="60"/>
      <c r="I199" s="60"/>
      <c r="J199" s="60"/>
      <c r="K199" s="105"/>
      <c r="L199" s="2"/>
      <c r="M199" s="6"/>
      <c r="N199" s="113"/>
      <c r="O199" s="90"/>
      <c r="P199" s="90"/>
      <c r="Q199" s="2"/>
      <c r="R199" s="2"/>
    </row>
    <row r="200" spans="1:19" x14ac:dyDescent="0.35">
      <c r="A200" s="3"/>
      <c r="B200" s="2"/>
      <c r="C200" s="60"/>
      <c r="D200" s="60"/>
      <c r="E200" s="110"/>
      <c r="F200" s="110"/>
      <c r="G200" s="110"/>
      <c r="H200" s="60"/>
      <c r="I200" s="60"/>
      <c r="J200" s="60"/>
      <c r="K200" s="105"/>
      <c r="L200" s="2"/>
      <c r="M200" s="6"/>
      <c r="N200" s="113"/>
      <c r="O200" s="90"/>
      <c r="P200" s="90"/>
      <c r="Q200" s="2"/>
      <c r="R200" s="2"/>
    </row>
    <row r="201" spans="1:19" x14ac:dyDescent="0.35">
      <c r="A201" s="3"/>
      <c r="B201" s="2"/>
      <c r="C201" s="60"/>
      <c r="D201" s="60"/>
      <c r="E201" s="110"/>
      <c r="F201" s="110"/>
      <c r="G201" s="110"/>
      <c r="H201" s="60"/>
      <c r="I201" s="60"/>
      <c r="J201" s="60"/>
      <c r="K201" s="105"/>
      <c r="L201" s="2"/>
      <c r="M201" s="6"/>
      <c r="N201" s="113"/>
      <c r="O201" s="90"/>
      <c r="P201" s="90"/>
      <c r="Q201" s="2"/>
      <c r="R201" s="2"/>
    </row>
    <row r="202" spans="1:19" x14ac:dyDescent="0.35">
      <c r="A202" s="3"/>
      <c r="B202" s="2"/>
      <c r="C202" s="60"/>
      <c r="D202" s="60"/>
      <c r="E202" s="110"/>
      <c r="F202" s="110"/>
      <c r="G202" s="110"/>
      <c r="H202" s="60"/>
      <c r="I202" s="60"/>
      <c r="J202" s="60"/>
      <c r="K202" s="105"/>
      <c r="L202" s="2"/>
      <c r="M202" s="6"/>
      <c r="N202" s="113"/>
      <c r="O202" s="90"/>
      <c r="P202" s="90"/>
      <c r="Q202" s="2"/>
      <c r="R202" s="2"/>
    </row>
    <row r="203" spans="1:19" ht="18.5" x14ac:dyDescent="0.45">
      <c r="A203" s="197" t="s">
        <v>113</v>
      </c>
      <c r="B203" s="198"/>
      <c r="C203" s="198"/>
      <c r="D203" s="198"/>
      <c r="E203" s="198"/>
      <c r="F203" s="198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50"/>
    </row>
    <row r="204" spans="1:19" x14ac:dyDescent="0.35">
      <c r="A204" s="125" t="s">
        <v>89</v>
      </c>
      <c r="B204" s="129" t="s">
        <v>114</v>
      </c>
      <c r="G204" s="170" t="s">
        <v>171</v>
      </c>
      <c r="J204" s="170" t="s">
        <v>114</v>
      </c>
      <c r="L204" s="125" t="s">
        <v>176</v>
      </c>
      <c r="N204" s="112" t="s">
        <v>114</v>
      </c>
      <c r="P204" s="173" t="s">
        <v>181</v>
      </c>
      <c r="Q204" s="6"/>
      <c r="R204" s="7"/>
      <c r="S204" s="7"/>
    </row>
    <row r="205" spans="1:19" x14ac:dyDescent="0.35">
      <c r="A205" s="14" t="s">
        <v>101</v>
      </c>
      <c r="B205" s="110">
        <f>E194</f>
        <v>511.3</v>
      </c>
      <c r="C205" s="60"/>
      <c r="E205" s="110"/>
      <c r="G205" s="57" t="s">
        <v>172</v>
      </c>
      <c r="I205" s="57">
        <v>11.5</v>
      </c>
      <c r="J205" s="60">
        <v>150</v>
      </c>
      <c r="L205" s="7" t="s">
        <v>177</v>
      </c>
      <c r="N205" s="110">
        <v>11.5</v>
      </c>
      <c r="P205" s="175" t="s">
        <v>182</v>
      </c>
      <c r="Q205" s="6"/>
      <c r="R205" s="7"/>
      <c r="S205" s="7"/>
    </row>
    <row r="206" spans="1:19" x14ac:dyDescent="0.35">
      <c r="A206" s="14" t="s">
        <v>102</v>
      </c>
      <c r="B206" s="119">
        <f>B207/B205</f>
        <v>5.0518015081382969E-2</v>
      </c>
      <c r="C206" s="60"/>
      <c r="G206" s="57" t="s">
        <v>173</v>
      </c>
      <c r="J206" s="60"/>
      <c r="L206" s="7" t="s">
        <v>178</v>
      </c>
      <c r="N206" s="113"/>
      <c r="R206" s="7"/>
      <c r="S206" s="7"/>
    </row>
    <row r="207" spans="1:19" x14ac:dyDescent="0.35">
      <c r="A207" s="14" t="s">
        <v>94</v>
      </c>
      <c r="B207" s="113">
        <f>N194</f>
        <v>25.829861111111114</v>
      </c>
      <c r="C207" s="60"/>
      <c r="E207" s="110"/>
      <c r="G207" s="57" t="s">
        <v>174</v>
      </c>
      <c r="J207" s="60"/>
      <c r="K207" s="105"/>
      <c r="L207" s="6"/>
      <c r="M207" s="6"/>
      <c r="N207" s="113"/>
      <c r="R207" s="7"/>
      <c r="S207" s="7"/>
    </row>
    <row r="208" spans="1:19" x14ac:dyDescent="0.35">
      <c r="A208" s="122" t="s">
        <v>71</v>
      </c>
      <c r="B208" s="89">
        <f>B207/24</f>
        <v>1.076244212962963</v>
      </c>
      <c r="C208" s="60"/>
      <c r="E208" s="110"/>
      <c r="G208" s="57" t="s">
        <v>175</v>
      </c>
      <c r="J208" s="60"/>
      <c r="K208" s="105"/>
      <c r="L208" s="2"/>
      <c r="M208" s="6"/>
      <c r="N208" s="114"/>
      <c r="O208" s="116"/>
      <c r="P208" s="116"/>
      <c r="Q208" s="2"/>
      <c r="R208" s="62"/>
      <c r="S208" s="61"/>
    </row>
    <row r="209" spans="1:19" x14ac:dyDescent="0.35">
      <c r="A209" s="130"/>
      <c r="B209" s="94"/>
      <c r="C209" s="60"/>
      <c r="E209" s="110"/>
      <c r="J209" s="60"/>
      <c r="K209" s="105"/>
      <c r="L209" s="2"/>
      <c r="M209" s="6"/>
      <c r="N209" s="114"/>
      <c r="O209" s="116"/>
      <c r="P209" s="116"/>
      <c r="Q209" s="2"/>
      <c r="R209" s="62"/>
      <c r="S209" s="61"/>
    </row>
    <row r="210" spans="1:19" x14ac:dyDescent="0.35">
      <c r="A210" s="15" t="s">
        <v>90</v>
      </c>
      <c r="C210" s="60"/>
      <c r="D210" s="60"/>
      <c r="E210" s="110"/>
      <c r="F210" s="110"/>
      <c r="G210" s="110"/>
      <c r="H210" s="60"/>
      <c r="I210" s="60"/>
      <c r="J210" s="60"/>
      <c r="K210" s="105"/>
      <c r="L210" s="2"/>
      <c r="M210" s="6"/>
      <c r="N210" s="114"/>
      <c r="O210" s="116"/>
      <c r="P210" s="116"/>
      <c r="Q210" s="2"/>
      <c r="R210" s="2"/>
    </row>
    <row r="211" spans="1:19" x14ac:dyDescent="0.35">
      <c r="A211" s="120" t="s">
        <v>103</v>
      </c>
      <c r="B211" s="105">
        <f>K194</f>
        <v>0</v>
      </c>
      <c r="C211" s="60"/>
      <c r="D211" s="60"/>
      <c r="E211" s="110"/>
      <c r="F211" s="110"/>
      <c r="G211" s="171" t="s">
        <v>179</v>
      </c>
      <c r="H211" s="172"/>
      <c r="I211" s="172"/>
      <c r="J211" s="72"/>
      <c r="K211" s="105"/>
      <c r="N211" s="113"/>
      <c r="O211" s="116"/>
      <c r="P211" s="116"/>
      <c r="Q211" s="2"/>
      <c r="R211" s="2"/>
    </row>
    <row r="212" spans="1:19" x14ac:dyDescent="0.35">
      <c r="A212" s="120" t="s">
        <v>93</v>
      </c>
      <c r="B212" s="90">
        <f>O194</f>
        <v>0</v>
      </c>
      <c r="C212" s="60"/>
      <c r="D212" s="60"/>
      <c r="E212" s="110"/>
      <c r="F212" s="110"/>
      <c r="G212" s="171" t="s">
        <v>180</v>
      </c>
      <c r="H212" s="172"/>
      <c r="I212" s="172"/>
      <c r="J212" s="81"/>
      <c r="K212" s="105"/>
      <c r="N212" s="113"/>
      <c r="O212" s="116"/>
      <c r="P212" s="116"/>
      <c r="Q212" s="2"/>
      <c r="R212" s="2"/>
    </row>
    <row r="213" spans="1:19" x14ac:dyDescent="0.35">
      <c r="A213" s="14" t="s">
        <v>102</v>
      </c>
      <c r="B213" s="118" t="e">
        <f>B212/B211</f>
        <v>#DIV/0!</v>
      </c>
      <c r="C213" s="60"/>
      <c r="D213" s="60"/>
      <c r="E213" s="110"/>
      <c r="F213" s="110"/>
      <c r="G213" s="110"/>
      <c r="H213" s="60"/>
      <c r="I213" s="60"/>
      <c r="J213" s="60"/>
      <c r="K213" s="105"/>
      <c r="L213" s="2"/>
      <c r="M213" s="6"/>
      <c r="N213" s="114"/>
      <c r="O213" s="116"/>
      <c r="P213" s="116"/>
      <c r="Q213" s="2"/>
      <c r="R213" s="2"/>
    </row>
    <row r="214" spans="1:19" x14ac:dyDescent="0.35">
      <c r="A214" s="120" t="s">
        <v>71</v>
      </c>
      <c r="B214" s="90">
        <f>B212/24</f>
        <v>0</v>
      </c>
      <c r="C214" s="60"/>
      <c r="D214" s="60"/>
      <c r="E214" s="110"/>
      <c r="F214" s="110"/>
      <c r="G214" s="110"/>
      <c r="H214" s="60"/>
      <c r="I214" s="60"/>
      <c r="J214" s="60"/>
      <c r="K214" s="105"/>
      <c r="L214" s="2"/>
      <c r="M214" s="6"/>
      <c r="N214" s="114"/>
      <c r="O214" s="116"/>
      <c r="P214" s="116"/>
      <c r="Q214" s="2"/>
      <c r="R214" s="2"/>
    </row>
    <row r="215" spans="1:19" x14ac:dyDescent="0.35">
      <c r="A215" s="120"/>
      <c r="B215" s="90"/>
      <c r="C215" s="60"/>
      <c r="D215" s="60"/>
      <c r="E215" s="110"/>
      <c r="F215" s="110"/>
      <c r="G215" s="110"/>
      <c r="H215" s="60"/>
      <c r="I215" s="60"/>
      <c r="J215" s="60"/>
      <c r="K215" s="105"/>
      <c r="L215" s="2"/>
      <c r="M215" s="6"/>
      <c r="N215" s="114"/>
      <c r="O215" s="116"/>
      <c r="P215" s="116"/>
      <c r="Q215" s="2"/>
      <c r="R215" s="2"/>
    </row>
    <row r="216" spans="1:19" x14ac:dyDescent="0.35">
      <c r="A216" s="120" t="s">
        <v>129</v>
      </c>
      <c r="B216" s="90"/>
      <c r="C216" s="60"/>
      <c r="D216" s="60"/>
      <c r="E216" s="110"/>
      <c r="F216" s="110"/>
      <c r="G216" s="110"/>
      <c r="H216" s="60"/>
      <c r="I216" s="60"/>
      <c r="J216" s="60"/>
      <c r="K216" s="105"/>
      <c r="L216" s="2"/>
      <c r="M216" s="6"/>
      <c r="N216" s="114"/>
      <c r="O216" s="116"/>
      <c r="P216" s="116"/>
      <c r="Q216" s="2"/>
      <c r="R216" s="2"/>
    </row>
    <row r="217" spans="1:19" x14ac:dyDescent="0.35">
      <c r="A217" s="120" t="s">
        <v>130</v>
      </c>
      <c r="B217" s="90">
        <f>P194</f>
        <v>3.0347222222222223</v>
      </c>
      <c r="C217" s="60"/>
      <c r="D217" s="60"/>
      <c r="E217" s="110"/>
      <c r="F217" s="110"/>
      <c r="G217" s="110"/>
      <c r="H217" s="60"/>
      <c r="I217" s="60"/>
      <c r="J217" s="60"/>
      <c r="K217" s="105"/>
      <c r="L217" s="2"/>
      <c r="M217" s="6"/>
      <c r="N217" s="114"/>
      <c r="O217" s="116"/>
      <c r="P217" s="116"/>
      <c r="Q217" s="2"/>
      <c r="R217" s="2"/>
    </row>
    <row r="218" spans="1:19" x14ac:dyDescent="0.35">
      <c r="A218" s="120" t="s">
        <v>71</v>
      </c>
      <c r="B218" s="90">
        <f>B217/24</f>
        <v>0.12644675925925927</v>
      </c>
      <c r="C218" s="60"/>
      <c r="D218" s="60"/>
      <c r="E218" s="110"/>
      <c r="F218" s="110"/>
      <c r="G218" s="110"/>
      <c r="H218" s="60"/>
      <c r="I218" s="60"/>
      <c r="J218" s="60"/>
      <c r="K218" s="105"/>
      <c r="L218" s="2"/>
      <c r="M218" s="6"/>
      <c r="N218" s="114"/>
      <c r="O218" s="116"/>
      <c r="P218" s="116"/>
      <c r="Q218" s="2"/>
      <c r="R218" s="2"/>
    </row>
    <row r="219" spans="1:19" x14ac:dyDescent="0.35">
      <c r="A219" s="120"/>
      <c r="B219" s="90"/>
      <c r="C219" s="60"/>
      <c r="D219" s="60"/>
      <c r="E219" s="110"/>
      <c r="F219" s="110"/>
      <c r="G219" s="110"/>
      <c r="H219" s="60"/>
      <c r="I219" s="60"/>
      <c r="J219" s="60"/>
      <c r="K219" s="105"/>
      <c r="L219" s="2"/>
      <c r="M219" s="6"/>
      <c r="N219" s="114"/>
      <c r="O219" s="116"/>
      <c r="P219" s="116"/>
      <c r="Q219" s="2"/>
      <c r="R219" s="2"/>
    </row>
    <row r="220" spans="1:19" x14ac:dyDescent="0.35">
      <c r="A220" s="120"/>
      <c r="B220" s="90"/>
      <c r="C220" s="60"/>
      <c r="D220" s="60"/>
      <c r="E220" s="110"/>
      <c r="F220" s="110"/>
      <c r="G220" s="110"/>
      <c r="H220" s="60"/>
      <c r="I220" s="60"/>
      <c r="J220" s="60"/>
      <c r="K220" s="105"/>
      <c r="L220" s="2"/>
      <c r="M220" s="6"/>
      <c r="N220" s="114"/>
      <c r="O220" s="116"/>
      <c r="P220" s="116"/>
      <c r="Q220" s="2"/>
      <c r="R220" s="2"/>
    </row>
    <row r="221" spans="1:19" x14ac:dyDescent="0.35">
      <c r="A221" s="122" t="s">
        <v>115</v>
      </c>
      <c r="B221" s="2"/>
      <c r="C221" s="60"/>
      <c r="D221" s="60"/>
      <c r="E221" s="110"/>
      <c r="F221" s="110"/>
      <c r="G221" s="110"/>
      <c r="H221" s="60"/>
      <c r="I221" s="60"/>
      <c r="J221" s="60"/>
      <c r="K221" s="105"/>
      <c r="L221" s="2"/>
      <c r="M221" s="6"/>
      <c r="N221" s="114"/>
      <c r="O221" s="116"/>
      <c r="P221" s="116"/>
      <c r="Q221" s="2"/>
      <c r="R221" s="2"/>
    </row>
    <row r="222" spans="1:19" x14ac:dyDescent="0.35">
      <c r="A222" s="121" t="s">
        <v>104</v>
      </c>
      <c r="B222" s="119">
        <f>N194+O194+P194</f>
        <v>28.864583333333336</v>
      </c>
      <c r="D222" s="60"/>
      <c r="E222" s="110"/>
      <c r="F222" s="110"/>
      <c r="G222" s="110"/>
      <c r="H222" s="60"/>
      <c r="I222" s="60"/>
      <c r="J222" s="60"/>
      <c r="K222" s="105"/>
      <c r="L222" s="2"/>
      <c r="M222" s="6"/>
      <c r="N222" s="114"/>
      <c r="O222" s="116"/>
      <c r="P222" s="116"/>
      <c r="Q222" s="2"/>
      <c r="R222" s="2"/>
    </row>
    <row r="223" spans="1:19" x14ac:dyDescent="0.35">
      <c r="A223" s="121" t="s">
        <v>71</v>
      </c>
      <c r="B223" s="119">
        <f>B222/24</f>
        <v>1.2026909722222223</v>
      </c>
      <c r="D223" s="60"/>
      <c r="E223" s="110"/>
      <c r="F223" s="110"/>
      <c r="G223" s="110"/>
      <c r="H223" s="60"/>
      <c r="I223" s="60"/>
      <c r="J223" s="60"/>
      <c r="K223" s="105"/>
      <c r="L223" s="2"/>
      <c r="M223" s="6"/>
      <c r="N223" s="114"/>
      <c r="O223" s="116"/>
      <c r="P223" s="116"/>
      <c r="Q223" s="2"/>
      <c r="R223" s="2"/>
    </row>
    <row r="224" spans="1:19" ht="16" customHeight="1" x14ac:dyDescent="0.35">
      <c r="A224" s="3"/>
      <c r="B224" s="2"/>
      <c r="C224" s="60"/>
      <c r="D224" s="60"/>
      <c r="E224" s="110"/>
      <c r="F224" s="110"/>
      <c r="G224" s="110"/>
      <c r="H224" s="60"/>
      <c r="I224" s="60"/>
      <c r="J224" s="60"/>
      <c r="K224" s="105"/>
      <c r="L224" s="2"/>
      <c r="M224" s="6"/>
      <c r="N224" s="114"/>
      <c r="O224" s="116"/>
      <c r="P224" s="116"/>
      <c r="Q224" s="2"/>
      <c r="R224" s="2"/>
    </row>
    <row r="225" spans="1:19" ht="16" customHeight="1" x14ac:dyDescent="0.35">
      <c r="A225" s="3"/>
      <c r="B225" s="2"/>
      <c r="C225" s="60"/>
      <c r="D225" s="60"/>
      <c r="E225" s="110"/>
      <c r="F225" s="110"/>
      <c r="G225" s="110"/>
      <c r="H225" s="60"/>
      <c r="I225" s="60"/>
      <c r="J225" s="60"/>
      <c r="K225" s="105"/>
      <c r="L225" s="2"/>
      <c r="M225" s="6"/>
      <c r="N225" s="114"/>
      <c r="O225" s="116"/>
      <c r="P225" s="116"/>
      <c r="Q225" s="2"/>
      <c r="R225" s="2"/>
    </row>
    <row r="226" spans="1:19" x14ac:dyDescent="0.35">
      <c r="A226" s="3"/>
      <c r="B226" s="2"/>
      <c r="C226" s="60"/>
      <c r="D226" s="60"/>
      <c r="E226" s="110"/>
      <c r="F226" s="110"/>
      <c r="G226" s="110"/>
      <c r="H226" s="60"/>
      <c r="I226" s="60"/>
      <c r="J226" s="60"/>
      <c r="K226" s="105"/>
      <c r="L226" s="2"/>
      <c r="M226" s="6"/>
      <c r="N226" s="114"/>
      <c r="O226" s="116"/>
      <c r="P226" s="116"/>
      <c r="Q226" s="2"/>
      <c r="R226" s="2"/>
    </row>
    <row r="227" spans="1:19" x14ac:dyDescent="0.35">
      <c r="A227" s="3"/>
      <c r="B227" s="2"/>
      <c r="C227" s="60"/>
      <c r="D227" s="60"/>
      <c r="E227" s="110"/>
      <c r="F227" s="110"/>
      <c r="G227" s="110"/>
      <c r="H227" s="60"/>
      <c r="I227" s="60"/>
      <c r="J227" s="60"/>
      <c r="K227" s="105"/>
      <c r="L227" s="2"/>
      <c r="M227" s="6"/>
      <c r="N227" s="114"/>
      <c r="O227" s="116"/>
      <c r="P227" s="116"/>
      <c r="Q227" s="2"/>
      <c r="R227" s="2"/>
    </row>
    <row r="228" spans="1:19" x14ac:dyDescent="0.35">
      <c r="A228" s="3"/>
      <c r="B228" s="2"/>
      <c r="C228" s="60"/>
      <c r="D228" s="60"/>
      <c r="E228" s="110"/>
      <c r="F228" s="110"/>
      <c r="G228" s="110"/>
      <c r="H228" s="60"/>
      <c r="I228" s="60"/>
      <c r="J228" s="60"/>
      <c r="K228" s="105"/>
      <c r="L228" s="2"/>
      <c r="M228" s="6"/>
      <c r="N228" s="114"/>
      <c r="O228" s="116"/>
      <c r="P228" s="116"/>
      <c r="Q228" s="2"/>
      <c r="R228" s="2"/>
    </row>
    <row r="229" spans="1:19" x14ac:dyDescent="0.35">
      <c r="A229" s="2"/>
      <c r="B229" s="2"/>
      <c r="C229" s="60"/>
      <c r="D229" s="60"/>
      <c r="E229" s="110"/>
      <c r="F229" s="110"/>
      <c r="G229" s="110"/>
      <c r="H229" s="60"/>
      <c r="I229" s="60"/>
      <c r="J229" s="60"/>
      <c r="K229" s="105"/>
      <c r="L229" s="2"/>
      <c r="M229" s="6"/>
      <c r="N229" s="114"/>
      <c r="O229" s="116"/>
      <c r="P229" s="116"/>
      <c r="Q229" s="2"/>
      <c r="R229" s="2"/>
    </row>
    <row r="230" spans="1:19" x14ac:dyDescent="0.35">
      <c r="A230" s="2"/>
      <c r="B230" s="2"/>
      <c r="C230" s="60"/>
      <c r="D230" s="60"/>
      <c r="M230" s="6"/>
      <c r="R230" s="2"/>
    </row>
    <row r="231" spans="1:19" x14ac:dyDescent="0.35">
      <c r="A231" s="65" t="s">
        <v>138</v>
      </c>
      <c r="B231" s="138"/>
      <c r="C231" s="163"/>
      <c r="D231" s="163"/>
      <c r="E231" s="162"/>
      <c r="F231" s="162"/>
      <c r="G231" s="162"/>
      <c r="H231" s="162"/>
      <c r="I231" s="162"/>
      <c r="J231" s="162"/>
      <c r="K231" s="162"/>
      <c r="L231" s="139"/>
      <c r="M231" s="164"/>
      <c r="N231" s="139"/>
      <c r="O231" s="139"/>
      <c r="P231" s="139"/>
      <c r="Q231" s="160"/>
      <c r="R231" s="161"/>
    </row>
    <row r="232" spans="1:19" x14ac:dyDescent="0.35">
      <c r="A232" s="65" t="s">
        <v>139</v>
      </c>
      <c r="B232" s="65"/>
      <c r="C232" s="162"/>
      <c r="D232" s="162"/>
      <c r="E232" s="162"/>
      <c r="F232" s="162"/>
      <c r="G232" s="162"/>
      <c r="H232" s="162"/>
      <c r="I232" s="162"/>
      <c r="J232" s="162"/>
      <c r="K232" s="162"/>
      <c r="L232" s="139"/>
      <c r="M232" s="139"/>
      <c r="N232" s="139"/>
      <c r="O232" s="139"/>
      <c r="P232" s="139"/>
      <c r="Q232" s="160"/>
      <c r="R232" s="160"/>
    </row>
    <row r="238" spans="1:19" x14ac:dyDescent="0.35">
      <c r="A238" s="14"/>
      <c r="B238" s="6"/>
      <c r="C238" s="60"/>
      <c r="D238" s="60"/>
      <c r="E238" s="110"/>
      <c r="F238" s="110"/>
      <c r="G238" s="110"/>
      <c r="H238" s="60"/>
      <c r="I238" s="60"/>
      <c r="J238" s="60"/>
      <c r="K238" s="105"/>
      <c r="L238" s="6"/>
      <c r="M238" s="6"/>
      <c r="N238" s="113"/>
      <c r="R238" s="7"/>
      <c r="S238" s="7"/>
    </row>
    <row r="239" spans="1:19" x14ac:dyDescent="0.35">
      <c r="A239" s="14"/>
      <c r="B239" s="6"/>
      <c r="C239" s="60"/>
      <c r="D239" s="60"/>
      <c r="E239" s="110"/>
      <c r="F239" s="110"/>
      <c r="G239" s="110"/>
      <c r="H239" s="60"/>
      <c r="I239" s="60"/>
      <c r="J239" s="60"/>
      <c r="K239" s="105"/>
      <c r="L239" s="6"/>
      <c r="M239" s="6"/>
      <c r="N239" s="113"/>
      <c r="R239" s="7"/>
      <c r="S239" s="7"/>
    </row>
    <row r="240" spans="1:19" x14ac:dyDescent="0.35">
      <c r="A240" s="14"/>
      <c r="B240" s="6"/>
      <c r="C240" s="60"/>
      <c r="D240" s="60"/>
      <c r="E240" s="110"/>
      <c r="F240" s="110"/>
      <c r="G240" s="110"/>
      <c r="H240" s="60"/>
      <c r="I240" s="60"/>
      <c r="J240" s="60"/>
      <c r="K240" s="105"/>
      <c r="L240" s="6"/>
      <c r="M240" s="6"/>
      <c r="N240" s="113"/>
      <c r="R240" s="7"/>
      <c r="S240" s="7"/>
    </row>
    <row r="241" spans="1:19" x14ac:dyDescent="0.35">
      <c r="A241" s="14"/>
      <c r="B241" s="6"/>
      <c r="C241" s="60"/>
      <c r="D241" s="60"/>
      <c r="E241" s="110"/>
      <c r="F241" s="110"/>
      <c r="G241" s="110"/>
      <c r="H241" s="60"/>
      <c r="I241" s="60"/>
      <c r="J241" s="60"/>
      <c r="K241" s="105"/>
      <c r="L241" s="6"/>
      <c r="M241" s="6"/>
      <c r="N241" s="113"/>
      <c r="R241" s="7"/>
      <c r="S241" s="7"/>
    </row>
    <row r="242" spans="1:19" x14ac:dyDescent="0.35">
      <c r="A242" s="7"/>
      <c r="B242" s="7"/>
      <c r="R242" s="7"/>
      <c r="S242" s="7"/>
    </row>
    <row r="243" spans="1:19" x14ac:dyDescent="0.35">
      <c r="A243" s="15"/>
      <c r="B243" s="7"/>
      <c r="R243" s="7"/>
      <c r="S243" s="7"/>
    </row>
    <row r="247" spans="1:19" x14ac:dyDescent="0.35">
      <c r="B247" s="132"/>
      <c r="C247" s="131"/>
      <c r="D247" s="131"/>
      <c r="H247" s="131"/>
      <c r="I247" s="131"/>
      <c r="J247" s="131"/>
      <c r="L247" s="93"/>
      <c r="M247" s="93"/>
    </row>
    <row r="248" spans="1:19" x14ac:dyDescent="0.35">
      <c r="B248" s="133"/>
      <c r="C248" s="131"/>
      <c r="D248" s="131"/>
      <c r="H248" s="131"/>
      <c r="I248" s="131"/>
      <c r="J248" s="131"/>
      <c r="L248" s="93"/>
      <c r="M248" s="93"/>
    </row>
  </sheetData>
  <mergeCells count="2">
    <mergeCell ref="A1:R1"/>
    <mergeCell ref="A203:R203"/>
  </mergeCells>
  <phoneticPr fontId="12" type="noConversion"/>
  <conditionalFormatting sqref="N157 P157 N158:P229 N4:P156">
    <cfRule type="expression" dxfId="1" priority="1">
      <formula>N4&gt;4</formula>
    </cfRule>
  </conditionalFormatting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31953-7D4C-449E-A4F4-E99AE86812AE}">
  <dimension ref="A1:AQ113"/>
  <sheetViews>
    <sheetView zoomScale="60" zoomScaleNormal="60" workbookViewId="0">
      <selection activeCell="G12" sqref="G12"/>
    </sheetView>
  </sheetViews>
  <sheetFormatPr defaultRowHeight="14.5" x14ac:dyDescent="0.35"/>
  <cols>
    <col min="1" max="1" width="14" customWidth="1"/>
    <col min="2" max="2" width="18.1796875" customWidth="1"/>
    <col min="3" max="5" width="18" customWidth="1"/>
    <col min="6" max="6" width="15.36328125" customWidth="1"/>
    <col min="7" max="9" width="14.08984375" customWidth="1"/>
    <col min="10" max="10" width="17.08984375" customWidth="1"/>
    <col min="11" max="11" width="20.90625" customWidth="1"/>
    <col min="12" max="12" width="10.26953125" customWidth="1"/>
    <col min="13" max="13" width="4.453125" customWidth="1"/>
  </cols>
  <sheetData>
    <row r="1" spans="1:21" ht="21" x14ac:dyDescent="0.5">
      <c r="A1" s="195" t="s">
        <v>208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201" t="s">
        <v>117</v>
      </c>
      <c r="N1" s="202"/>
      <c r="O1" s="202"/>
      <c r="P1" s="202"/>
      <c r="Q1" s="202"/>
      <c r="R1" s="202"/>
      <c r="S1" s="202"/>
      <c r="T1" s="202"/>
      <c r="U1" s="50"/>
    </row>
    <row r="3" spans="1:21" ht="45.5" customHeight="1" x14ac:dyDescent="0.35">
      <c r="A3" s="1" t="s">
        <v>0</v>
      </c>
      <c r="B3" s="1" t="s">
        <v>96</v>
      </c>
      <c r="C3" s="1" t="s">
        <v>97</v>
      </c>
      <c r="D3" s="1" t="s">
        <v>98</v>
      </c>
      <c r="E3" s="1" t="s">
        <v>185</v>
      </c>
      <c r="F3" s="1" t="s">
        <v>99</v>
      </c>
      <c r="G3" s="1" t="s">
        <v>95</v>
      </c>
      <c r="H3" s="1" t="s">
        <v>123</v>
      </c>
      <c r="I3" s="1" t="s">
        <v>131</v>
      </c>
      <c r="J3" s="1" t="s">
        <v>132</v>
      </c>
      <c r="K3" s="1" t="s">
        <v>10</v>
      </c>
    </row>
    <row r="4" spans="1:21" s="61" customFormat="1" x14ac:dyDescent="0.35">
      <c r="A4" s="149"/>
      <c r="B4" s="150"/>
      <c r="C4" s="150"/>
      <c r="D4" s="150"/>
      <c r="E4" s="150"/>
      <c r="F4" s="150"/>
      <c r="G4" s="150"/>
      <c r="H4" s="150"/>
      <c r="I4" s="151"/>
      <c r="J4" s="151"/>
      <c r="K4" s="150"/>
    </row>
    <row r="5" spans="1:21" x14ac:dyDescent="0.35">
      <c r="A5" s="148"/>
      <c r="B5" s="148"/>
      <c r="C5" s="148"/>
      <c r="D5" s="148"/>
      <c r="E5" s="148"/>
      <c r="F5" s="148"/>
      <c r="G5" s="148"/>
      <c r="H5" s="148"/>
      <c r="I5" s="148"/>
      <c r="J5" s="148"/>
      <c r="K5" s="148"/>
    </row>
    <row r="6" spans="1:21" x14ac:dyDescent="0.35">
      <c r="A6" s="3"/>
      <c r="B6" s="2"/>
      <c r="C6" s="2"/>
      <c r="D6" s="2"/>
      <c r="E6" s="2"/>
      <c r="F6" s="2"/>
      <c r="G6" s="2"/>
      <c r="H6" s="2"/>
      <c r="I6" s="2"/>
      <c r="J6" s="2"/>
      <c r="K6" s="2"/>
    </row>
    <row r="7" spans="1:21" x14ac:dyDescent="0.35">
      <c r="A7" s="3">
        <v>46167</v>
      </c>
      <c r="B7" s="2"/>
      <c r="C7" s="2"/>
      <c r="D7" s="2"/>
      <c r="E7" s="2"/>
      <c r="F7" s="2"/>
      <c r="G7" s="2">
        <v>1250</v>
      </c>
      <c r="H7" s="2"/>
      <c r="I7" s="2"/>
      <c r="J7" s="2"/>
      <c r="K7" s="2"/>
    </row>
    <row r="8" spans="1:21" x14ac:dyDescent="0.35">
      <c r="A8" s="3">
        <v>46168</v>
      </c>
      <c r="B8" s="2"/>
      <c r="C8" s="2"/>
      <c r="D8" s="2">
        <v>25</v>
      </c>
      <c r="E8" s="2"/>
      <c r="F8" s="2"/>
      <c r="G8" s="2">
        <v>1000</v>
      </c>
      <c r="H8" s="2"/>
      <c r="I8" s="2"/>
      <c r="J8" s="2"/>
      <c r="K8" s="2"/>
    </row>
    <row r="9" spans="1:21" x14ac:dyDescent="0.35">
      <c r="A9" s="3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21" x14ac:dyDescent="0.35">
      <c r="A10" s="3">
        <v>46172</v>
      </c>
      <c r="B10" s="2"/>
      <c r="C10" s="2"/>
      <c r="D10" s="2"/>
      <c r="E10" s="2">
        <v>3</v>
      </c>
      <c r="F10" s="2"/>
      <c r="G10" s="2">
        <v>125</v>
      </c>
      <c r="H10" s="2"/>
      <c r="I10" s="2"/>
      <c r="J10" s="2"/>
      <c r="K10" s="2"/>
    </row>
    <row r="11" spans="1:21" x14ac:dyDescent="0.35">
      <c r="A11" s="3"/>
      <c r="B11" s="2"/>
      <c r="C11" s="2"/>
      <c r="D11" s="2"/>
      <c r="E11" s="2"/>
      <c r="F11" s="2"/>
      <c r="G11" s="2">
        <v>750</v>
      </c>
      <c r="H11" s="2"/>
      <c r="I11" s="2"/>
      <c r="J11" s="2"/>
      <c r="K11" s="2"/>
    </row>
    <row r="12" spans="1:21" x14ac:dyDescent="0.35">
      <c r="A12" s="3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21" x14ac:dyDescent="0.35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21" ht="14" customHeight="1" x14ac:dyDescent="0.35">
      <c r="A14" s="3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21" ht="14" customHeight="1" x14ac:dyDescent="0.35">
      <c r="A15" s="3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21" ht="14" customHeight="1" x14ac:dyDescent="0.35">
      <c r="A16" s="3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4" customHeight="1" x14ac:dyDescent="0.35">
      <c r="A17" s="3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4" customHeight="1" x14ac:dyDescent="0.35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4" customHeight="1" x14ac:dyDescent="0.35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4" customHeight="1" x14ac:dyDescent="0.35">
      <c r="A20" s="3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4" customHeight="1" x14ac:dyDescent="0.35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4" customHeight="1" x14ac:dyDescent="0.35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4" customHeight="1" x14ac:dyDescent="0.35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4" customHeight="1" x14ac:dyDescent="0.35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4" customHeight="1" x14ac:dyDescent="0.35">
      <c r="A25" s="55"/>
      <c r="C25" s="2"/>
      <c r="D25" s="2"/>
      <c r="E25" s="2"/>
      <c r="F25" s="2"/>
      <c r="G25" s="2"/>
      <c r="H25" s="2"/>
      <c r="I25" s="2"/>
      <c r="J25" s="2"/>
      <c r="K25" s="2"/>
    </row>
    <row r="26" spans="1:11" ht="14" customHeight="1" x14ac:dyDescent="0.35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4" customHeight="1" x14ac:dyDescent="0.35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4" customHeight="1" x14ac:dyDescent="0.35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4" customHeight="1" x14ac:dyDescent="0.35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4" customHeight="1" x14ac:dyDescent="0.35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4" customHeight="1" x14ac:dyDescent="0.35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4" customHeight="1" x14ac:dyDescent="0.35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4" customHeight="1" x14ac:dyDescent="0.35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4" customHeight="1" x14ac:dyDescent="0.35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4" customHeight="1" x14ac:dyDescent="0.35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4" customHeight="1" x14ac:dyDescent="0.35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4" customHeight="1" x14ac:dyDescent="0.35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4" customHeight="1" x14ac:dyDescent="0.35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4" customHeight="1" x14ac:dyDescent="0.35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4" customHeight="1" x14ac:dyDescent="0.35">
      <c r="C40" s="2"/>
      <c r="D40" s="2"/>
      <c r="E40" s="2"/>
      <c r="F40" s="2"/>
      <c r="G40" s="2"/>
      <c r="H40" s="2"/>
      <c r="I40" s="2"/>
      <c r="J40" s="2"/>
      <c r="K40" s="2"/>
    </row>
    <row r="41" spans="1:11" ht="14" customHeight="1" x14ac:dyDescent="0.35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4" customHeight="1" x14ac:dyDescent="0.35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4" customHeight="1" x14ac:dyDescent="0.35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4" customHeight="1" x14ac:dyDescent="0.35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4" customHeight="1" x14ac:dyDescent="0.35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4" customHeight="1" x14ac:dyDescent="0.35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4" customHeight="1" x14ac:dyDescent="0.35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4" customHeight="1" x14ac:dyDescent="0.35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4" customHeight="1" x14ac:dyDescent="0.35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4" customHeight="1" x14ac:dyDescent="0.35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4" customHeight="1" x14ac:dyDescent="0.35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4" customHeight="1" x14ac:dyDescent="0.35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4" customHeight="1" x14ac:dyDescent="0.35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4" customHeight="1" x14ac:dyDescent="0.35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4" customHeight="1" x14ac:dyDescent="0.35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4" customHeight="1" x14ac:dyDescent="0.35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4" customHeight="1" x14ac:dyDescent="0.35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4" customHeight="1" x14ac:dyDescent="0.35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4" customHeight="1" x14ac:dyDescent="0.35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4" customHeight="1" x14ac:dyDescent="0.35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4" customHeight="1" x14ac:dyDescent="0.35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4" customHeight="1" x14ac:dyDescent="0.35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4" customHeight="1" x14ac:dyDescent="0.35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4" customHeight="1" x14ac:dyDescent="0.35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43" ht="14" customHeight="1" x14ac:dyDescent="0.35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43" ht="14" customHeight="1" x14ac:dyDescent="0.35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43" ht="14" customHeight="1" x14ac:dyDescent="0.35">
      <c r="A67" s="3" t="s">
        <v>112</v>
      </c>
      <c r="B67" s="2" t="s">
        <v>96</v>
      </c>
      <c r="C67" s="2" t="s">
        <v>110</v>
      </c>
      <c r="D67" s="2" t="s">
        <v>111</v>
      </c>
      <c r="E67" s="2" t="s">
        <v>185</v>
      </c>
      <c r="F67" s="2" t="s">
        <v>99</v>
      </c>
      <c r="G67" s="2" t="s">
        <v>95</v>
      </c>
      <c r="H67" s="2"/>
      <c r="I67" s="2"/>
      <c r="J67" s="2"/>
      <c r="K67" s="2"/>
    </row>
    <row r="68" spans="1:43" s="61" customFormat="1" x14ac:dyDescent="0.35">
      <c r="A68" s="3" t="s">
        <v>67</v>
      </c>
      <c r="B68" s="85">
        <v>1471.9</v>
      </c>
      <c r="C68" s="85">
        <v>0</v>
      </c>
      <c r="D68" s="85">
        <v>110</v>
      </c>
      <c r="E68" s="85">
        <v>0</v>
      </c>
      <c r="F68" s="85">
        <v>726.48</v>
      </c>
      <c r="G68" s="123">
        <v>32000</v>
      </c>
      <c r="H68" s="123">
        <v>330</v>
      </c>
      <c r="I68" s="123"/>
      <c r="J68" s="123"/>
      <c r="K68" s="2"/>
    </row>
    <row r="69" spans="1:43" ht="14" customHeight="1" x14ac:dyDescent="0.35">
      <c r="A69" s="3" t="s">
        <v>68</v>
      </c>
      <c r="B69" s="85">
        <f>SUM(B6:B65)</f>
        <v>0</v>
      </c>
      <c r="C69" s="85">
        <f>SUM(C6:C66)</f>
        <v>0</v>
      </c>
      <c r="D69" s="85">
        <f>SUM(D6:D66)</f>
        <v>25</v>
      </c>
      <c r="E69" s="85">
        <f>SUM(E4:E65)</f>
        <v>3</v>
      </c>
      <c r="F69" s="85"/>
      <c r="G69" s="85">
        <f>SUM(G6:G65)</f>
        <v>3125</v>
      </c>
      <c r="H69" s="85">
        <f>SUM(H6:H65)</f>
        <v>0</v>
      </c>
      <c r="I69" s="85"/>
      <c r="J69" s="85"/>
      <c r="K69" s="2"/>
    </row>
    <row r="70" spans="1:43" ht="14" customHeight="1" x14ac:dyDescent="0.35">
      <c r="A70" s="3" t="s">
        <v>105</v>
      </c>
      <c r="B70" s="85">
        <f t="shared" ref="B70:H70" si="0">B69-B68</f>
        <v>-1471.9</v>
      </c>
      <c r="C70" s="85">
        <f t="shared" si="0"/>
        <v>0</v>
      </c>
      <c r="D70" s="85">
        <f t="shared" si="0"/>
        <v>-85</v>
      </c>
      <c r="E70" s="85">
        <f t="shared" si="0"/>
        <v>3</v>
      </c>
      <c r="F70" s="85">
        <f t="shared" si="0"/>
        <v>-726.48</v>
      </c>
      <c r="G70" s="85">
        <f t="shared" si="0"/>
        <v>-28875</v>
      </c>
      <c r="H70" s="85">
        <f t="shared" si="0"/>
        <v>-330</v>
      </c>
      <c r="I70" s="85"/>
      <c r="J70" s="85"/>
      <c r="K70" s="2"/>
    </row>
    <row r="71" spans="1:43" s="126" customFormat="1" x14ac:dyDescent="0.35">
      <c r="A71" t="s">
        <v>106</v>
      </c>
      <c r="B71" s="82">
        <f t="shared" ref="B71:H71" si="1">B69/B68</f>
        <v>0</v>
      </c>
      <c r="C71" s="82" t="e">
        <f t="shared" si="1"/>
        <v>#DIV/0!</v>
      </c>
      <c r="D71" s="124">
        <f t="shared" si="1"/>
        <v>0.22727272727272727</v>
      </c>
      <c r="E71" s="124" t="e">
        <f t="shared" si="1"/>
        <v>#DIV/0!</v>
      </c>
      <c r="F71" s="124">
        <f t="shared" si="1"/>
        <v>0</v>
      </c>
      <c r="G71" s="124">
        <f t="shared" si="1"/>
        <v>9.765625E-2</v>
      </c>
      <c r="H71" s="124">
        <f t="shared" si="1"/>
        <v>0</v>
      </c>
      <c r="I71" s="124"/>
      <c r="J71" s="124"/>
      <c r="K71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34"/>
      <c r="AL71" s="134"/>
      <c r="AM71" s="134"/>
      <c r="AN71" s="134"/>
      <c r="AO71" s="134"/>
      <c r="AP71" s="134"/>
      <c r="AQ71" s="134"/>
    </row>
    <row r="72" spans="1:43" x14ac:dyDescent="0.35">
      <c r="A72" s="126" t="s">
        <v>76</v>
      </c>
      <c r="B72" s="127" t="str">
        <f>IF(B69&gt;B68,"ESTOURADO",IF(B70&gt;=0.7,"ALERTA","OK"))</f>
        <v>OK</v>
      </c>
      <c r="C72" s="127" t="str">
        <f>IF(C69&gt;C68,"ESTOURADO",IF(C70&gt;=0.7,"ALERTA","OK"))</f>
        <v>OK</v>
      </c>
      <c r="D72" s="127" t="str">
        <f t="shared" ref="D72:F72" si="2">IF(D69&gt;D68,"ESTOURADO",IF(D70&gt;=0.7,"ALERTA","OK"))</f>
        <v>OK</v>
      </c>
      <c r="E72" s="127" t="str">
        <f t="shared" si="2"/>
        <v>ESTOURADO</v>
      </c>
      <c r="F72" s="127" t="str">
        <f t="shared" si="2"/>
        <v>OK</v>
      </c>
      <c r="G72" s="127" t="str">
        <f>IF(G69&gt;G68,"ESTOURADO",IF(G70&gt;=0.7,"ALERTA","OK"))</f>
        <v>OK</v>
      </c>
      <c r="H72" s="127" t="str">
        <f>IF(H69&gt;H68,"ESTOURADO",IF(H70&gt;=0.7,"ALERTA","OK"))</f>
        <v>OK</v>
      </c>
      <c r="I72" s="127"/>
      <c r="J72" s="127"/>
      <c r="K72" s="126"/>
      <c r="L72" s="62"/>
    </row>
    <row r="73" spans="1:43" x14ac:dyDescent="0.35">
      <c r="A73" s="67"/>
      <c r="B73" s="2"/>
      <c r="C73" s="62"/>
      <c r="D73" s="62"/>
      <c r="E73" s="62"/>
      <c r="F73" s="62"/>
      <c r="G73" s="62"/>
      <c r="H73" s="62"/>
      <c r="I73" s="62"/>
      <c r="J73" s="62"/>
      <c r="K73" s="62"/>
      <c r="L73" s="62"/>
    </row>
    <row r="74" spans="1:43" x14ac:dyDescent="0.35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</row>
    <row r="76" spans="1:43" x14ac:dyDescent="0.35">
      <c r="A76" s="174" t="s">
        <v>127</v>
      </c>
      <c r="B76" s="137"/>
      <c r="C76" s="137"/>
      <c r="D76" s="7"/>
      <c r="E76" s="7"/>
    </row>
    <row r="77" spans="1:43" x14ac:dyDescent="0.35">
      <c r="A77" s="11" t="s">
        <v>124</v>
      </c>
      <c r="B77" s="11"/>
      <c r="C77" s="138"/>
      <c r="D77" s="139"/>
      <c r="E77" s="139"/>
      <c r="F77" s="65"/>
      <c r="G77" s="65"/>
      <c r="H77" s="65"/>
      <c r="I77" s="65"/>
      <c r="J77" s="65"/>
      <c r="K77" s="65"/>
      <c r="L77" s="160"/>
      <c r="M77" s="160"/>
    </row>
    <row r="78" spans="1:43" x14ac:dyDescent="0.35">
      <c r="A78" s="6"/>
      <c r="B78" s="6"/>
      <c r="C78" s="2"/>
      <c r="D78" s="7"/>
      <c r="E78" s="7"/>
    </row>
    <row r="79" spans="1:43" x14ac:dyDescent="0.35">
      <c r="A79" s="6"/>
      <c r="B79" s="6"/>
      <c r="C79" s="2"/>
      <c r="D79" s="7"/>
      <c r="E79" s="7"/>
    </row>
    <row r="80" spans="1:43" x14ac:dyDescent="0.35">
      <c r="A80" s="175" t="s">
        <v>183</v>
      </c>
      <c r="B80" s="2"/>
      <c r="C80" s="2"/>
      <c r="D80" s="62"/>
      <c r="E80" s="61"/>
    </row>
    <row r="81" spans="1:12" x14ac:dyDescent="0.35">
      <c r="A81" s="2"/>
      <c r="B81" s="2"/>
      <c r="C81" s="2"/>
      <c r="D81" s="2"/>
      <c r="L81" s="2"/>
    </row>
    <row r="82" spans="1:12" x14ac:dyDescent="0.35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35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35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x14ac:dyDescent="0.35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35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x14ac:dyDescent="0.35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35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35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x14ac:dyDescent="0.35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35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35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ht="16" customHeight="1" x14ac:dyDescent="0.35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ht="16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102" spans="1:12" x14ac:dyDescent="0.35">
      <c r="L102" s="7"/>
    </row>
    <row r="103" spans="1:12" x14ac:dyDescent="0.35">
      <c r="A103" s="14"/>
      <c r="B103" s="6"/>
      <c r="C103" s="6"/>
      <c r="D103" s="6"/>
      <c r="E103" s="6"/>
      <c r="F103" s="6"/>
      <c r="G103" s="6"/>
      <c r="H103" s="6"/>
      <c r="I103" s="6"/>
      <c r="J103" s="6"/>
      <c r="K103" s="2"/>
      <c r="L103" s="7"/>
    </row>
    <row r="104" spans="1:12" x14ac:dyDescent="0.35">
      <c r="A104" s="14"/>
      <c r="B104" s="6"/>
      <c r="C104" s="6"/>
      <c r="D104" s="6"/>
      <c r="E104" s="6"/>
      <c r="F104" s="6"/>
      <c r="G104" s="6"/>
      <c r="H104" s="6"/>
      <c r="I104" s="6"/>
      <c r="J104" s="6"/>
      <c r="K104" s="2"/>
      <c r="L104" s="7"/>
    </row>
    <row r="105" spans="1:12" x14ac:dyDescent="0.35">
      <c r="A105" s="14"/>
      <c r="B105" s="6"/>
      <c r="C105" s="6"/>
      <c r="D105" s="6"/>
      <c r="E105" s="6"/>
      <c r="F105" s="6"/>
      <c r="G105" s="6"/>
      <c r="H105" s="6"/>
      <c r="I105" s="6"/>
      <c r="J105" s="6"/>
      <c r="K105" s="2"/>
      <c r="L105" s="7"/>
    </row>
    <row r="106" spans="1:12" x14ac:dyDescent="0.35">
      <c r="A106" s="14"/>
      <c r="B106" s="6"/>
      <c r="C106" s="6"/>
      <c r="D106" s="6"/>
      <c r="E106" s="6"/>
      <c r="F106" s="6"/>
      <c r="G106" s="6"/>
      <c r="H106" s="6"/>
      <c r="I106" s="6"/>
      <c r="J106" s="6"/>
      <c r="K106" s="2"/>
      <c r="L106" s="7"/>
    </row>
    <row r="107" spans="1:12" x14ac:dyDescent="0.35">
      <c r="A107" s="7"/>
      <c r="B107" s="7"/>
      <c r="C107" s="7"/>
      <c r="D107" s="7"/>
      <c r="E107" s="7"/>
      <c r="F107" s="7"/>
      <c r="G107" s="7"/>
      <c r="H107" s="7"/>
      <c r="I107" s="7"/>
      <c r="J107" s="7"/>
      <c r="L107" s="7"/>
    </row>
    <row r="108" spans="1:12" x14ac:dyDescent="0.35">
      <c r="A108" s="15"/>
      <c r="B108" s="7"/>
      <c r="C108" s="7"/>
      <c r="D108" s="7"/>
      <c r="E108" s="7"/>
      <c r="F108" s="7"/>
      <c r="G108" s="7"/>
      <c r="H108" s="7"/>
      <c r="I108" s="7"/>
      <c r="J108" s="7"/>
    </row>
    <row r="112" spans="1:12" x14ac:dyDescent="0.35"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</row>
    <row r="113" spans="2:11" x14ac:dyDescent="0.35">
      <c r="B113" s="133"/>
      <c r="C113" s="132"/>
      <c r="D113" s="132"/>
      <c r="E113" s="132"/>
      <c r="F113" s="132"/>
      <c r="G113" s="132"/>
      <c r="H113" s="132"/>
      <c r="I113" s="132"/>
      <c r="J113" s="132"/>
      <c r="K113" s="132"/>
    </row>
  </sheetData>
  <mergeCells count="2">
    <mergeCell ref="A1:L1"/>
    <mergeCell ref="M1:T1"/>
  </mergeCells>
  <pageMargins left="0.75" right="0.75" top="1" bottom="1" header="0.5" footer="0.5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C9365-D20C-4DA7-BF5D-1E304AC71832}">
  <dimension ref="A1:Q52"/>
  <sheetViews>
    <sheetView workbookViewId="0">
      <selection activeCell="A9" sqref="A9"/>
    </sheetView>
  </sheetViews>
  <sheetFormatPr defaultRowHeight="14.5" x14ac:dyDescent="0.35"/>
  <cols>
    <col min="1" max="1" width="14" customWidth="1"/>
    <col min="2" max="2" width="32.453125" customWidth="1"/>
    <col min="3" max="3" width="18" customWidth="1"/>
    <col min="4" max="4" width="22.36328125" customWidth="1"/>
    <col min="5" max="5" width="19.54296875" style="7" customWidth="1"/>
    <col min="6" max="6" width="22.6328125" style="7" customWidth="1"/>
    <col min="7" max="9" width="19.08984375" style="7" customWidth="1"/>
    <col min="10" max="10" width="18.6328125" style="7" customWidth="1"/>
    <col min="11" max="11" width="20" customWidth="1"/>
    <col min="12" max="12" width="18.90625" customWidth="1"/>
    <col min="13" max="13" width="18.7265625" style="7" customWidth="1"/>
    <col min="14" max="14" width="83.08984375" customWidth="1"/>
    <col min="15" max="15" width="16.81640625" customWidth="1"/>
    <col min="16" max="16" width="16.26953125" customWidth="1"/>
    <col min="17" max="17" width="19" customWidth="1"/>
  </cols>
  <sheetData>
    <row r="1" spans="1:17" ht="21" x14ac:dyDescent="0.35">
      <c r="A1" s="195" t="s">
        <v>72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50"/>
    </row>
    <row r="3" spans="1:17" x14ac:dyDescent="0.35">
      <c r="A3" s="1" t="s">
        <v>0</v>
      </c>
      <c r="B3" s="1" t="s">
        <v>1</v>
      </c>
      <c r="C3" s="1" t="s">
        <v>73</v>
      </c>
      <c r="D3" s="1" t="s">
        <v>3</v>
      </c>
      <c r="E3" s="5" t="s">
        <v>42</v>
      </c>
      <c r="F3" s="5" t="s">
        <v>68</v>
      </c>
      <c r="G3" s="5" t="s">
        <v>74</v>
      </c>
      <c r="H3" s="5" t="s">
        <v>75</v>
      </c>
      <c r="I3" s="5" t="s">
        <v>76</v>
      </c>
      <c r="J3" s="5" t="s">
        <v>46</v>
      </c>
      <c r="K3" s="1" t="s">
        <v>146</v>
      </c>
      <c r="L3" s="1" t="s">
        <v>7</v>
      </c>
      <c r="M3" s="5" t="s">
        <v>9</v>
      </c>
      <c r="N3" s="1" t="s">
        <v>10</v>
      </c>
      <c r="O3" s="1" t="s">
        <v>77</v>
      </c>
      <c r="P3" s="1" t="s">
        <v>78</v>
      </c>
      <c r="Q3" s="78" t="s">
        <v>79</v>
      </c>
    </row>
    <row r="4" spans="1:17" x14ac:dyDescent="0.35">
      <c r="A4" s="3"/>
      <c r="B4" s="2"/>
      <c r="C4" s="2"/>
      <c r="D4" s="2"/>
      <c r="E4" s="2"/>
      <c r="F4" s="2"/>
      <c r="G4" s="2"/>
      <c r="H4" s="66"/>
      <c r="I4" s="2"/>
      <c r="J4" s="6"/>
      <c r="K4" s="6"/>
      <c r="L4" s="6"/>
      <c r="M4" s="6"/>
      <c r="N4" s="2"/>
      <c r="O4" s="4"/>
      <c r="P4" s="4"/>
      <c r="Q4" s="17"/>
    </row>
    <row r="5" spans="1:17" x14ac:dyDescent="0.35">
      <c r="A5" s="3">
        <v>46139</v>
      </c>
      <c r="B5" s="2" t="s">
        <v>140</v>
      </c>
      <c r="C5" s="2" t="s">
        <v>153</v>
      </c>
      <c r="D5" s="2" t="s">
        <v>154</v>
      </c>
      <c r="E5" s="2"/>
      <c r="F5" s="2">
        <v>1</v>
      </c>
      <c r="G5" s="2"/>
      <c r="H5" s="66"/>
      <c r="I5" s="2"/>
      <c r="J5" s="6"/>
      <c r="K5" s="6"/>
      <c r="L5" s="6"/>
      <c r="M5" s="6"/>
      <c r="N5" s="2"/>
      <c r="O5" s="4"/>
      <c r="P5" s="4"/>
      <c r="Q5" s="17"/>
    </row>
    <row r="6" spans="1:17" x14ac:dyDescent="0.35">
      <c r="A6" s="3">
        <v>46140</v>
      </c>
      <c r="B6" s="2" t="s">
        <v>140</v>
      </c>
      <c r="C6" s="2" t="s">
        <v>153</v>
      </c>
      <c r="D6" s="2" t="s">
        <v>154</v>
      </c>
      <c r="E6" s="2"/>
      <c r="F6" s="2">
        <v>1</v>
      </c>
      <c r="G6" s="2"/>
      <c r="H6" s="66"/>
      <c r="I6" s="2"/>
      <c r="J6" s="6"/>
      <c r="K6" s="6"/>
      <c r="L6" s="6"/>
      <c r="M6" s="6"/>
      <c r="N6" s="2"/>
      <c r="O6" s="4"/>
      <c r="P6" s="4"/>
      <c r="Q6" s="17"/>
    </row>
    <row r="7" spans="1:17" x14ac:dyDescent="0.35">
      <c r="A7" s="3"/>
      <c r="B7" s="2"/>
      <c r="C7" s="2"/>
      <c r="D7" s="2"/>
      <c r="E7" s="2"/>
      <c r="F7" s="2"/>
      <c r="G7" s="2"/>
      <c r="H7" s="66"/>
      <c r="I7" s="2"/>
      <c r="J7" s="6"/>
      <c r="K7" s="6"/>
      <c r="L7" s="6"/>
      <c r="M7" s="6"/>
      <c r="N7" s="2"/>
      <c r="O7" s="4"/>
      <c r="P7" s="4"/>
      <c r="Q7" s="17"/>
    </row>
    <row r="8" spans="1:17" x14ac:dyDescent="0.35">
      <c r="A8" s="3">
        <v>46143</v>
      </c>
      <c r="B8" s="2"/>
      <c r="C8" s="2"/>
      <c r="D8" s="2" t="s">
        <v>158</v>
      </c>
      <c r="E8" s="2"/>
      <c r="F8" s="2">
        <v>1</v>
      </c>
      <c r="G8" s="2"/>
      <c r="H8" s="66"/>
      <c r="I8" s="2"/>
      <c r="J8" s="6"/>
      <c r="K8" s="6"/>
      <c r="L8" s="6"/>
      <c r="M8" s="6"/>
      <c r="N8" s="2"/>
      <c r="O8" s="4"/>
      <c r="P8" s="4"/>
      <c r="Q8" s="17"/>
    </row>
    <row r="9" spans="1:17" x14ac:dyDescent="0.35">
      <c r="A9" s="3"/>
      <c r="B9" s="2"/>
      <c r="C9" s="2"/>
      <c r="D9" s="2"/>
      <c r="E9" s="2"/>
      <c r="F9" s="2"/>
      <c r="G9" s="2"/>
      <c r="H9" s="66"/>
      <c r="I9" s="2"/>
      <c r="J9" s="6"/>
      <c r="K9" s="6"/>
      <c r="L9" s="6"/>
      <c r="M9" s="6"/>
      <c r="N9" s="2"/>
      <c r="O9" s="4"/>
      <c r="P9" s="4"/>
      <c r="Q9" s="17"/>
    </row>
    <row r="10" spans="1:17" x14ac:dyDescent="0.35">
      <c r="A10" s="3"/>
      <c r="B10" s="2"/>
      <c r="C10" s="2"/>
      <c r="D10" s="2"/>
      <c r="E10" s="2"/>
      <c r="F10" s="2"/>
      <c r="G10" s="2"/>
      <c r="H10" s="66"/>
      <c r="I10" s="2"/>
      <c r="J10" s="6"/>
      <c r="K10" s="6"/>
      <c r="L10" s="6"/>
      <c r="M10" s="6"/>
      <c r="N10" s="2"/>
      <c r="O10" s="4"/>
      <c r="P10" s="4"/>
      <c r="Q10" s="17"/>
    </row>
    <row r="11" spans="1:17" x14ac:dyDescent="0.35">
      <c r="A11" s="3"/>
      <c r="B11" s="2"/>
      <c r="C11" s="2"/>
      <c r="D11" s="2"/>
      <c r="E11" s="2"/>
      <c r="F11" s="2"/>
      <c r="G11" s="2"/>
      <c r="H11" s="66"/>
      <c r="I11" s="2"/>
      <c r="J11" s="6"/>
      <c r="K11" s="6"/>
      <c r="L11" s="6"/>
      <c r="M11" s="6"/>
      <c r="N11" s="2"/>
      <c r="O11" s="4"/>
      <c r="P11" s="4"/>
      <c r="Q11" s="17"/>
    </row>
    <row r="12" spans="1:17" x14ac:dyDescent="0.35">
      <c r="A12" s="3"/>
      <c r="B12" s="2"/>
      <c r="C12" s="2"/>
      <c r="D12" s="2"/>
      <c r="E12" s="2"/>
      <c r="F12" s="2"/>
      <c r="G12" s="2"/>
      <c r="H12" s="66"/>
      <c r="I12" s="2"/>
      <c r="J12" s="6"/>
      <c r="K12" s="6"/>
      <c r="L12" s="6"/>
      <c r="M12" s="6"/>
      <c r="N12" s="2"/>
      <c r="O12" s="4"/>
      <c r="P12" s="4"/>
      <c r="Q12" s="17"/>
    </row>
    <row r="13" spans="1:17" ht="14" customHeight="1" x14ac:dyDescent="0.35">
      <c r="A13" s="3"/>
      <c r="B13" s="2"/>
      <c r="C13" s="2"/>
      <c r="D13" s="2"/>
      <c r="E13" s="2"/>
      <c r="F13" s="2"/>
      <c r="G13" s="2"/>
      <c r="H13" s="66"/>
      <c r="I13" s="2"/>
      <c r="J13" s="6"/>
      <c r="K13" s="6"/>
      <c r="L13" s="6"/>
      <c r="M13" s="6"/>
      <c r="N13" s="2"/>
      <c r="O13" s="4"/>
      <c r="P13" s="4"/>
      <c r="Q13" s="17"/>
    </row>
    <row r="14" spans="1:17" s="61" customFormat="1" x14ac:dyDescent="0.35">
      <c r="A14" s="67"/>
      <c r="B14" s="2"/>
      <c r="C14" s="62"/>
      <c r="D14" s="62"/>
      <c r="E14" s="62"/>
      <c r="F14" s="62"/>
      <c r="G14" s="62"/>
      <c r="H14" s="68"/>
      <c r="I14" s="2"/>
      <c r="J14" s="69"/>
      <c r="K14" s="69"/>
      <c r="L14" s="69"/>
      <c r="M14" s="69"/>
      <c r="N14" s="62"/>
      <c r="O14" s="79"/>
      <c r="P14" s="79"/>
      <c r="Q14" s="80"/>
    </row>
    <row r="15" spans="1:17" x14ac:dyDescent="0.35">
      <c r="A15" s="3"/>
      <c r="B15" s="2"/>
      <c r="C15" s="2"/>
      <c r="D15" s="2"/>
      <c r="E15" s="2"/>
      <c r="F15" s="2"/>
      <c r="G15" s="2"/>
      <c r="H15" s="66"/>
      <c r="I15" s="2"/>
      <c r="J15" s="6"/>
      <c r="K15" s="6"/>
      <c r="L15" s="6"/>
      <c r="M15" s="6"/>
      <c r="N15" s="62"/>
      <c r="O15" s="4"/>
      <c r="P15" s="4"/>
      <c r="Q15" s="17"/>
    </row>
    <row r="16" spans="1:17" x14ac:dyDescent="0.35">
      <c r="A16" s="3"/>
      <c r="B16" s="2"/>
      <c r="C16" s="2"/>
      <c r="D16" s="2"/>
      <c r="E16" s="2"/>
      <c r="F16" s="2"/>
      <c r="G16" s="2"/>
      <c r="H16" s="66"/>
      <c r="I16" s="2"/>
      <c r="J16" s="6"/>
      <c r="K16" s="6"/>
      <c r="L16" s="6"/>
      <c r="M16" s="6"/>
      <c r="N16" s="62"/>
      <c r="O16" s="4"/>
      <c r="P16" s="4"/>
      <c r="Q16" s="17"/>
    </row>
    <row r="17" spans="1:17" x14ac:dyDescent="0.35">
      <c r="A17" s="3"/>
      <c r="B17" s="2"/>
      <c r="C17" s="2"/>
      <c r="D17" s="2"/>
      <c r="E17" s="2"/>
      <c r="F17" s="2"/>
      <c r="G17" s="2"/>
      <c r="H17" s="66"/>
      <c r="I17" s="2"/>
      <c r="J17" s="6"/>
      <c r="K17" s="6"/>
      <c r="L17" s="6"/>
      <c r="M17" s="6"/>
      <c r="N17" s="62"/>
      <c r="O17" s="2"/>
      <c r="P17" s="2"/>
      <c r="Q17" s="17"/>
    </row>
    <row r="18" spans="1:17" x14ac:dyDescent="0.35">
      <c r="A18" s="3"/>
      <c r="B18" s="2"/>
      <c r="C18" s="2"/>
      <c r="D18" s="2"/>
      <c r="E18" s="2"/>
      <c r="F18" s="2"/>
      <c r="G18" s="2"/>
      <c r="H18" s="66"/>
      <c r="I18" s="2"/>
      <c r="J18" s="6"/>
      <c r="K18" s="6"/>
      <c r="L18" s="6"/>
      <c r="M18" s="6"/>
      <c r="N18" s="62"/>
      <c r="O18" s="2"/>
      <c r="P18" s="2"/>
      <c r="Q18" s="17"/>
    </row>
    <row r="19" spans="1:17" x14ac:dyDescent="0.35">
      <c r="A19" s="3"/>
      <c r="B19" s="2"/>
      <c r="C19" s="2"/>
      <c r="D19" s="2"/>
      <c r="E19" s="2"/>
      <c r="F19" s="2"/>
      <c r="G19" s="2"/>
      <c r="H19" s="66"/>
      <c r="I19" s="2"/>
      <c r="J19" s="6"/>
      <c r="K19" s="6"/>
      <c r="L19" s="6"/>
      <c r="M19" s="6"/>
      <c r="N19" s="62"/>
      <c r="O19" s="4"/>
      <c r="P19" s="4"/>
      <c r="Q19" s="17"/>
    </row>
    <row r="20" spans="1:17" x14ac:dyDescent="0.35">
      <c r="A20" s="3"/>
      <c r="B20" s="2"/>
      <c r="C20" s="2"/>
      <c r="D20" s="2"/>
      <c r="E20" s="2"/>
      <c r="F20" s="2"/>
      <c r="G20" s="2"/>
      <c r="H20" s="66"/>
      <c r="I20" s="2"/>
      <c r="J20" s="6"/>
      <c r="K20" s="6"/>
      <c r="L20" s="6"/>
      <c r="M20" s="6"/>
      <c r="N20" s="62"/>
      <c r="O20" s="4"/>
      <c r="P20" s="4"/>
      <c r="Q20" s="17"/>
    </row>
    <row r="21" spans="1:17" x14ac:dyDescent="0.35">
      <c r="A21" s="3"/>
      <c r="B21" s="2"/>
      <c r="C21" s="2"/>
      <c r="D21" s="2"/>
      <c r="E21" s="2"/>
      <c r="F21" s="2"/>
      <c r="G21" s="2"/>
      <c r="H21" s="66"/>
      <c r="I21" s="2"/>
      <c r="J21" s="6"/>
      <c r="K21" s="6"/>
      <c r="L21" s="6"/>
      <c r="M21" s="6"/>
      <c r="N21" s="2"/>
      <c r="O21" s="2"/>
      <c r="P21" s="2"/>
      <c r="Q21" s="17"/>
    </row>
    <row r="22" spans="1:17" x14ac:dyDescent="0.35">
      <c r="A22" s="3"/>
      <c r="B22" s="2"/>
      <c r="C22" s="2"/>
      <c r="D22" s="2"/>
      <c r="E22" s="2"/>
      <c r="F22" s="2"/>
      <c r="G22" s="2"/>
      <c r="H22" s="66"/>
      <c r="I22" s="2"/>
      <c r="J22" s="6"/>
      <c r="K22" s="6"/>
      <c r="L22" s="6"/>
      <c r="M22" s="6"/>
      <c r="N22" s="2"/>
      <c r="O22" s="2"/>
      <c r="P22" s="2"/>
      <c r="Q22" s="17"/>
    </row>
    <row r="23" spans="1:17" x14ac:dyDescent="0.35">
      <c r="A23" s="3"/>
      <c r="B23" s="2"/>
      <c r="C23" s="2"/>
      <c r="D23" s="2"/>
      <c r="E23" s="2"/>
      <c r="F23" s="2"/>
      <c r="G23" s="2"/>
      <c r="H23" s="66"/>
      <c r="I23" s="2"/>
      <c r="J23" s="6"/>
      <c r="K23" s="6"/>
      <c r="L23" s="6"/>
      <c r="M23" s="6"/>
      <c r="N23" s="2"/>
      <c r="O23" s="2"/>
      <c r="P23" s="2"/>
      <c r="Q23" s="17"/>
    </row>
    <row r="24" spans="1:17" x14ac:dyDescent="0.35">
      <c r="A24" s="3"/>
      <c r="B24" s="2"/>
      <c r="C24" s="2"/>
      <c r="D24" s="2"/>
      <c r="E24" s="2"/>
      <c r="F24" s="2"/>
      <c r="G24" s="2"/>
      <c r="H24" s="66"/>
      <c r="I24" s="2"/>
      <c r="J24" s="6"/>
      <c r="K24" s="6"/>
      <c r="L24" s="6"/>
      <c r="M24" s="6"/>
      <c r="N24" s="2"/>
      <c r="O24" s="2"/>
      <c r="P24" s="2"/>
      <c r="Q24" s="17"/>
    </row>
    <row r="25" spans="1:17" x14ac:dyDescent="0.35">
      <c r="A25" s="3"/>
      <c r="B25" s="2"/>
      <c r="C25" s="2"/>
      <c r="D25" s="2"/>
      <c r="E25" s="2"/>
      <c r="F25" s="2"/>
      <c r="G25" s="2"/>
      <c r="H25" s="66"/>
      <c r="I25" s="2"/>
      <c r="J25" s="6"/>
      <c r="K25" s="6"/>
      <c r="L25" s="6"/>
      <c r="M25" s="6"/>
      <c r="N25" s="2"/>
      <c r="O25" s="2"/>
      <c r="P25" s="2"/>
      <c r="Q25" s="17"/>
    </row>
    <row r="26" spans="1:17" x14ac:dyDescent="0.35">
      <c r="A26" s="3"/>
      <c r="B26" s="2"/>
      <c r="C26" s="2"/>
      <c r="D26" s="2"/>
      <c r="E26" s="2"/>
      <c r="F26" s="2"/>
      <c r="G26" s="2"/>
      <c r="H26" s="66"/>
      <c r="I26" s="2"/>
      <c r="J26" s="6"/>
      <c r="K26" s="6"/>
      <c r="L26" s="6"/>
      <c r="M26" s="6"/>
      <c r="N26" s="2"/>
      <c r="O26" s="2"/>
      <c r="P26" s="2"/>
      <c r="Q26" s="17"/>
    </row>
    <row r="27" spans="1:17" x14ac:dyDescent="0.35">
      <c r="A27" s="3"/>
      <c r="B27" s="2"/>
      <c r="C27" s="2"/>
      <c r="D27" s="2"/>
      <c r="E27" s="2"/>
      <c r="F27" s="2"/>
      <c r="G27" s="2"/>
      <c r="H27" s="66"/>
      <c r="I27" s="2"/>
      <c r="J27" s="6"/>
      <c r="K27" s="6"/>
      <c r="L27" s="6"/>
      <c r="M27" s="6"/>
      <c r="N27" s="2"/>
      <c r="O27" s="2"/>
      <c r="P27" s="2"/>
      <c r="Q27" s="17"/>
    </row>
    <row r="28" spans="1:17" x14ac:dyDescent="0.35">
      <c r="A28" s="3"/>
      <c r="B28" s="2"/>
      <c r="C28" s="2"/>
      <c r="D28" s="2"/>
      <c r="E28" s="2"/>
      <c r="F28" s="2"/>
      <c r="G28" s="2"/>
      <c r="H28" s="66"/>
      <c r="I28" s="2"/>
      <c r="J28" s="6"/>
      <c r="K28" s="6"/>
      <c r="L28" s="6"/>
      <c r="M28" s="6"/>
      <c r="N28" s="2"/>
      <c r="O28" s="2"/>
      <c r="P28" s="2"/>
      <c r="Q28" s="17"/>
    </row>
    <row r="29" spans="1:17" x14ac:dyDescent="0.35">
      <c r="A29" s="3"/>
      <c r="B29" s="2"/>
      <c r="C29" s="2"/>
      <c r="D29" s="2"/>
      <c r="E29" s="2"/>
      <c r="F29" s="2"/>
      <c r="G29" s="2"/>
      <c r="H29" s="66"/>
      <c r="I29" s="2"/>
      <c r="J29" s="6"/>
      <c r="K29" s="6"/>
      <c r="L29" s="6"/>
      <c r="M29" s="6"/>
      <c r="N29" s="2"/>
      <c r="O29" s="2"/>
      <c r="P29" s="2"/>
      <c r="Q29" s="17"/>
    </row>
    <row r="30" spans="1:17" x14ac:dyDescent="0.35">
      <c r="A30" s="3"/>
      <c r="B30" s="2"/>
      <c r="C30" s="2"/>
      <c r="D30" s="2"/>
      <c r="E30" s="2"/>
      <c r="F30" s="2"/>
      <c r="G30" s="2"/>
      <c r="H30" s="66"/>
      <c r="I30" s="2"/>
      <c r="J30" s="6"/>
      <c r="K30" s="6"/>
      <c r="L30" s="6"/>
      <c r="M30" s="6"/>
      <c r="N30" s="2"/>
      <c r="O30" s="2"/>
      <c r="P30" s="2"/>
      <c r="Q30" s="17"/>
    </row>
    <row r="31" spans="1:17" x14ac:dyDescent="0.35">
      <c r="A31" s="3"/>
      <c r="B31" s="2"/>
      <c r="C31" s="2"/>
      <c r="D31" s="2"/>
      <c r="E31" s="2"/>
      <c r="F31" s="2"/>
      <c r="G31" s="2"/>
      <c r="H31" s="66"/>
      <c r="I31" s="2"/>
      <c r="J31" s="6"/>
      <c r="K31" s="6"/>
      <c r="L31" s="6"/>
      <c r="M31" s="6"/>
      <c r="N31" s="2"/>
      <c r="O31" s="2"/>
      <c r="P31" s="2"/>
      <c r="Q31" s="17"/>
    </row>
    <row r="32" spans="1:17" x14ac:dyDescent="0.35">
      <c r="A32" s="3"/>
      <c r="B32" s="2"/>
      <c r="C32" s="2"/>
      <c r="D32" s="2"/>
      <c r="E32" s="2"/>
      <c r="F32" s="2"/>
      <c r="G32" s="2"/>
      <c r="H32" s="66"/>
      <c r="I32" s="2"/>
      <c r="J32" s="6"/>
      <c r="K32" s="6"/>
      <c r="L32" s="6"/>
      <c r="M32" s="6"/>
      <c r="N32" s="2"/>
      <c r="O32" s="2"/>
      <c r="P32" s="2"/>
      <c r="Q32" s="17"/>
    </row>
    <row r="33" spans="1:17" x14ac:dyDescent="0.35">
      <c r="A33" s="2"/>
      <c r="B33" s="2"/>
      <c r="C33" s="2"/>
      <c r="D33" s="2"/>
      <c r="E33" s="2"/>
      <c r="F33" s="2"/>
      <c r="G33" s="2"/>
      <c r="H33" s="66"/>
      <c r="I33" s="2"/>
      <c r="J33" s="6"/>
      <c r="K33" s="6"/>
      <c r="L33" s="6"/>
      <c r="M33" s="6"/>
      <c r="N33" s="2"/>
      <c r="O33" s="2"/>
      <c r="P33" s="2"/>
      <c r="Q33" s="17"/>
    </row>
    <row r="34" spans="1:17" ht="16" customHeight="1" x14ac:dyDescent="0.35">
      <c r="A34" s="2"/>
      <c r="B34" s="2"/>
      <c r="C34" s="2"/>
      <c r="D34" s="2"/>
      <c r="E34" s="72" t="s">
        <v>80</v>
      </c>
      <c r="F34" s="72" t="s">
        <v>81</v>
      </c>
      <c r="G34" s="81" t="s">
        <v>22</v>
      </c>
      <c r="H34" s="82" t="s">
        <v>82</v>
      </c>
      <c r="I34" s="83" t="s">
        <v>69</v>
      </c>
      <c r="J34" s="6"/>
      <c r="K34" s="6"/>
      <c r="L34" s="6"/>
      <c r="M34" s="6"/>
      <c r="N34" s="2"/>
      <c r="O34" s="2"/>
      <c r="P34" s="2"/>
      <c r="Q34" s="84" t="s">
        <v>22</v>
      </c>
    </row>
    <row r="35" spans="1:17" ht="16" customHeight="1" x14ac:dyDescent="0.35">
      <c r="A35" s="2"/>
      <c r="B35" s="2"/>
      <c r="C35" s="2"/>
      <c r="D35" s="2"/>
      <c r="E35" s="85">
        <f>E4</f>
        <v>0</v>
      </c>
      <c r="F35" s="85">
        <f>SUM(F4:F23)</f>
        <v>3</v>
      </c>
      <c r="G35" s="86">
        <f>Tabela_Fevereiro7[[#This Row],[Realizado]]-Tabela_Fevereiro7[[#This Row],[Previsto]]</f>
        <v>3</v>
      </c>
      <c r="H35" s="87" t="e">
        <f>Tabela_Fevereiro7[[#This Row],[Realizado]]/Tabela_Fevereiro7[[#This Row],[Previsto]]</f>
        <v>#DIV/0!</v>
      </c>
      <c r="I35" s="2" t="str">
        <f>IF(F35&gt;E35,"ESTOURADO",IF(F33&gt;=0.7,"ALERTA","OK"))</f>
        <v>ESTOURADO</v>
      </c>
      <c r="J35" s="6"/>
      <c r="K35" s="6"/>
      <c r="L35" s="6"/>
      <c r="M35" s="6"/>
      <c r="N35" s="2"/>
      <c r="O35" s="2"/>
      <c r="P35" s="2"/>
      <c r="Q35" s="84">
        <f>SUM(Q4:Q33)</f>
        <v>0</v>
      </c>
    </row>
    <row r="37" spans="1:17" ht="18.5" x14ac:dyDescent="0.45">
      <c r="A37" s="197" t="s">
        <v>37</v>
      </c>
      <c r="B37" s="198"/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50"/>
    </row>
    <row r="38" spans="1:17" x14ac:dyDescent="0.35">
      <c r="A38" s="7"/>
      <c r="B38" s="7"/>
      <c r="C38" s="7"/>
      <c r="D38" s="7"/>
      <c r="K38" s="7"/>
      <c r="L38" s="7"/>
      <c r="N38" s="7"/>
    </row>
    <row r="39" spans="1:17" x14ac:dyDescent="0.35">
      <c r="A39" s="14" t="s">
        <v>43</v>
      </c>
      <c r="B39" s="6"/>
      <c r="C39" s="6"/>
      <c r="D39" s="2">
        <f>SUM(E4:E33)</f>
        <v>0</v>
      </c>
      <c r="E39" s="6"/>
      <c r="F39" s="6">
        <f>D39/24</f>
        <v>0</v>
      </c>
      <c r="G39" s="6" t="s">
        <v>25</v>
      </c>
      <c r="K39" s="7"/>
      <c r="L39" s="7"/>
      <c r="N39" s="7"/>
    </row>
    <row r="40" spans="1:17" x14ac:dyDescent="0.35">
      <c r="A40" s="14" t="s">
        <v>83</v>
      </c>
      <c r="B40" s="6"/>
      <c r="C40" s="6"/>
      <c r="D40" s="2">
        <f>SUM(F4:F33)</f>
        <v>3</v>
      </c>
      <c r="E40" s="6"/>
      <c r="F40" s="6">
        <f>D40/24</f>
        <v>0.125</v>
      </c>
      <c r="G40" s="6" t="s">
        <v>25</v>
      </c>
      <c r="K40" s="7"/>
      <c r="L40" s="7"/>
      <c r="N40" s="7"/>
    </row>
    <row r="41" spans="1:17" x14ac:dyDescent="0.35">
      <c r="A41" s="14" t="s">
        <v>84</v>
      </c>
      <c r="B41" s="6"/>
      <c r="C41" s="6"/>
      <c r="D41" s="2">
        <f>G35</f>
        <v>3</v>
      </c>
      <c r="E41" s="6"/>
      <c r="F41" s="6">
        <f>D41/24</f>
        <v>0.125</v>
      </c>
      <c r="G41" s="6" t="s">
        <v>25</v>
      </c>
      <c r="K41" s="7"/>
      <c r="L41" s="7"/>
      <c r="N41" s="7"/>
    </row>
    <row r="42" spans="1:17" x14ac:dyDescent="0.35">
      <c r="A42" s="14"/>
      <c r="B42" s="6"/>
      <c r="C42" s="6"/>
      <c r="D42" s="2"/>
      <c r="E42" s="6"/>
      <c r="F42" s="6"/>
      <c r="G42" s="6"/>
      <c r="K42" s="7"/>
      <c r="L42" s="7"/>
      <c r="N42" s="7"/>
    </row>
    <row r="43" spans="1:17" x14ac:dyDescent="0.35">
      <c r="A43" s="14"/>
      <c r="B43" s="6"/>
      <c r="C43" s="6"/>
      <c r="D43" s="2"/>
      <c r="E43" s="6"/>
      <c r="F43" s="6"/>
      <c r="G43" s="6"/>
      <c r="K43" s="7"/>
      <c r="L43" s="7"/>
      <c r="N43" s="7"/>
    </row>
    <row r="44" spans="1:17" x14ac:dyDescent="0.35">
      <c r="A44" s="14"/>
      <c r="B44" s="6"/>
      <c r="C44" s="6"/>
      <c r="D44" s="2"/>
      <c r="E44" s="6"/>
      <c r="F44" s="6"/>
      <c r="G44" s="6"/>
      <c r="K44" s="7"/>
      <c r="L44" s="7"/>
      <c r="N44" s="7"/>
    </row>
    <row r="45" spans="1:17" x14ac:dyDescent="0.35">
      <c r="A45" s="14"/>
      <c r="B45" s="6"/>
      <c r="C45" s="6"/>
      <c r="D45" s="2"/>
      <c r="E45" s="6"/>
      <c r="F45" s="6"/>
      <c r="G45" s="6"/>
      <c r="K45" s="7"/>
      <c r="L45" s="7"/>
      <c r="N45" s="7"/>
    </row>
    <row r="46" spans="1:17" x14ac:dyDescent="0.35">
      <c r="A46" s="7"/>
      <c r="B46" s="7"/>
      <c r="C46" s="7"/>
      <c r="K46" s="7"/>
      <c r="L46" s="7"/>
      <c r="N46" s="7"/>
    </row>
    <row r="47" spans="1:17" x14ac:dyDescent="0.35">
      <c r="A47" s="15"/>
      <c r="B47" s="7"/>
      <c r="C47" s="7"/>
      <c r="K47" s="7"/>
      <c r="L47" s="7"/>
      <c r="N47" s="7"/>
    </row>
    <row r="51" spans="2:6" x14ac:dyDescent="0.35">
      <c r="B51" s="63"/>
      <c r="C51" s="63"/>
      <c r="D51" s="63"/>
      <c r="E51" s="64"/>
      <c r="F51" s="64"/>
    </row>
    <row r="52" spans="2:6" x14ac:dyDescent="0.35">
      <c r="B52" s="65" t="s">
        <v>66</v>
      </c>
      <c r="C52" s="63"/>
      <c r="D52" s="63"/>
      <c r="E52" s="64"/>
      <c r="F52" s="64"/>
    </row>
  </sheetData>
  <mergeCells count="2">
    <mergeCell ref="A1:P1"/>
    <mergeCell ref="A37:P37"/>
  </mergeCells>
  <conditionalFormatting sqref="G4:I35">
    <cfRule type="expression" dxfId="0" priority="1">
      <formula>G4&gt;4</formula>
    </cfRule>
  </conditionalFormatting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1F67-AD28-4A23-8446-9462FCD95A80}">
  <dimension ref="A1:R24"/>
  <sheetViews>
    <sheetView zoomScale="80" zoomScaleNormal="80" workbookViewId="0">
      <selection activeCell="H44" sqref="H44"/>
    </sheetView>
  </sheetViews>
  <sheetFormatPr defaultRowHeight="14.5" x14ac:dyDescent="0.35"/>
  <cols>
    <col min="1" max="1" width="22" style="25" customWidth="1"/>
    <col min="2" max="2" width="22" style="26" customWidth="1"/>
    <col min="3" max="4" width="22" style="25" customWidth="1"/>
    <col min="5" max="5" width="22" style="26" customWidth="1"/>
    <col min="6" max="8" width="22" style="25" customWidth="1"/>
    <col min="9" max="16384" width="8.7265625" style="25"/>
  </cols>
  <sheetData>
    <row r="1" spans="1:18" ht="14.5" customHeight="1" x14ac:dyDescent="0.35">
      <c r="A1" s="203" t="s">
        <v>116</v>
      </c>
      <c r="B1" s="204"/>
      <c r="C1" s="204"/>
      <c r="D1" s="204"/>
      <c r="E1" s="204"/>
      <c r="F1" s="204"/>
      <c r="G1" s="204"/>
      <c r="H1" s="204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x14ac:dyDescent="0.35">
      <c r="A2" s="204"/>
      <c r="B2" s="204"/>
      <c r="C2" s="204"/>
      <c r="D2" s="204"/>
      <c r="E2" s="204"/>
      <c r="F2" s="204"/>
      <c r="G2" s="204"/>
      <c r="H2" s="204"/>
      <c r="I2" s="29"/>
      <c r="J2" s="29"/>
      <c r="K2" s="29"/>
      <c r="L2" s="29"/>
      <c r="M2" s="29"/>
      <c r="N2" s="29"/>
      <c r="O2" s="29"/>
      <c r="P2" s="29"/>
      <c r="Q2" s="29"/>
      <c r="R2" s="29"/>
    </row>
    <row r="5" spans="1:18" x14ac:dyDescent="0.35">
      <c r="A5" s="48"/>
      <c r="B5" s="49"/>
      <c r="D5" s="76"/>
      <c r="E5" s="77"/>
    </row>
    <row r="6" spans="1:18" x14ac:dyDescent="0.35">
      <c r="A6" s="48"/>
      <c r="B6" s="49"/>
      <c r="D6" s="43"/>
      <c r="E6" s="49"/>
    </row>
    <row r="7" spans="1:18" x14ac:dyDescent="0.35">
      <c r="A7" s="48"/>
      <c r="B7" s="49"/>
      <c r="D7" s="43"/>
      <c r="E7" s="49"/>
    </row>
    <row r="8" spans="1:18" x14ac:dyDescent="0.35">
      <c r="A8" s="48"/>
      <c r="B8" s="49"/>
      <c r="D8" s="43"/>
      <c r="E8" s="49"/>
    </row>
    <row r="9" spans="1:18" x14ac:dyDescent="0.35">
      <c r="A9" s="48"/>
      <c r="B9" s="49"/>
      <c r="D9" s="43"/>
      <c r="E9" s="49"/>
    </row>
    <row r="10" spans="1:18" x14ac:dyDescent="0.35">
      <c r="A10" s="48"/>
      <c r="B10" s="49"/>
    </row>
    <row r="11" spans="1:18" x14ac:dyDescent="0.35">
      <c r="A11" s="48"/>
      <c r="B11" s="49"/>
    </row>
    <row r="12" spans="1:18" x14ac:dyDescent="0.35">
      <c r="D12" s="76"/>
      <c r="E12" s="77"/>
    </row>
    <row r="13" spans="1:18" x14ac:dyDescent="0.35">
      <c r="D13" s="43"/>
      <c r="E13" s="49"/>
    </row>
    <row r="14" spans="1:18" x14ac:dyDescent="0.35">
      <c r="D14" s="43"/>
      <c r="E14" s="49"/>
    </row>
    <row r="15" spans="1:18" x14ac:dyDescent="0.35">
      <c r="A15" s="76"/>
      <c r="B15" s="77"/>
      <c r="D15" s="43"/>
      <c r="E15" s="49"/>
    </row>
    <row r="16" spans="1:18" x14ac:dyDescent="0.35">
      <c r="A16" s="43"/>
      <c r="B16" s="49"/>
      <c r="D16" s="43"/>
      <c r="E16" s="49"/>
    </row>
    <row r="17" spans="1:4" s="26" customFormat="1" x14ac:dyDescent="0.35">
      <c r="A17" s="43"/>
      <c r="B17" s="49"/>
      <c r="C17" s="25"/>
      <c r="D17" s="25"/>
    </row>
    <row r="18" spans="1:4" s="26" customFormat="1" x14ac:dyDescent="0.35">
      <c r="A18" s="43"/>
      <c r="B18" s="49"/>
      <c r="C18" s="25"/>
      <c r="D18" s="25"/>
    </row>
    <row r="19" spans="1:4" s="26" customFormat="1" x14ac:dyDescent="0.35">
      <c r="A19" s="43"/>
      <c r="B19" s="49"/>
      <c r="C19" s="25"/>
      <c r="D19" s="25"/>
    </row>
    <row r="24" spans="1:4" s="26" customFormat="1" x14ac:dyDescent="0.35">
      <c r="A24" s="25"/>
      <c r="D24" s="25"/>
    </row>
  </sheetData>
  <mergeCells count="1">
    <mergeCell ref="A1:H2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EDD17-415E-490F-BD06-2036E6BC82F7}">
  <dimension ref="A1:R24"/>
  <sheetViews>
    <sheetView workbookViewId="0">
      <selection activeCell="B31" sqref="B31"/>
    </sheetView>
  </sheetViews>
  <sheetFormatPr defaultRowHeight="14.5" x14ac:dyDescent="0.35"/>
  <cols>
    <col min="1" max="1" width="22" style="25" customWidth="1"/>
    <col min="2" max="2" width="22" style="26" customWidth="1"/>
    <col min="3" max="4" width="22" style="25" customWidth="1"/>
    <col min="5" max="5" width="22" style="26" customWidth="1"/>
    <col min="6" max="8" width="22" style="25" customWidth="1"/>
    <col min="9" max="17" width="8.7265625" style="25"/>
    <col min="18" max="18" width="13.08984375" style="25" customWidth="1"/>
    <col min="19" max="16384" width="8.7265625" style="25"/>
  </cols>
  <sheetData>
    <row r="1" spans="1:18" ht="14.5" customHeight="1" x14ac:dyDescent="0.35">
      <c r="A1" s="203" t="s">
        <v>17</v>
      </c>
      <c r="B1" s="204"/>
      <c r="C1" s="204"/>
      <c r="D1" s="204"/>
      <c r="E1" s="204"/>
      <c r="F1" s="204"/>
      <c r="G1" s="204"/>
      <c r="H1" s="204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x14ac:dyDescent="0.35">
      <c r="A2" s="204"/>
      <c r="B2" s="204"/>
      <c r="C2" s="204"/>
      <c r="D2" s="204"/>
      <c r="E2" s="204"/>
      <c r="F2" s="204"/>
      <c r="G2" s="204"/>
      <c r="H2" s="204"/>
      <c r="I2" s="29"/>
      <c r="J2" s="29"/>
      <c r="K2" s="29"/>
      <c r="L2" s="29"/>
      <c r="M2" s="29"/>
      <c r="N2" s="29"/>
      <c r="O2" s="29"/>
      <c r="P2" s="29"/>
      <c r="Q2" s="29"/>
      <c r="R2" s="29"/>
    </row>
    <row r="5" spans="1:18" x14ac:dyDescent="0.35">
      <c r="A5" s="28" t="s">
        <v>4</v>
      </c>
      <c r="B5" s="40">
        <f>Abril!C40+'Maio '!C42+JUNHO!D42+JULHO!D42</f>
        <v>17.131250000000001</v>
      </c>
      <c r="D5" s="41" t="s">
        <v>18</v>
      </c>
      <c r="E5" s="42" t="s">
        <v>19</v>
      </c>
    </row>
    <row r="6" spans="1:18" x14ac:dyDescent="0.35">
      <c r="A6" s="28" t="s">
        <v>5</v>
      </c>
      <c r="B6" s="40">
        <f>SUM(Abril!C41+'Maio '!C43+JUNHO!D43+JULHO!D43)</f>
        <v>16.05833333333333</v>
      </c>
      <c r="D6" s="34" t="s">
        <v>47</v>
      </c>
      <c r="E6" s="40">
        <f>B8</f>
        <v>6.9444444444444448E-2</v>
      </c>
    </row>
    <row r="7" spans="1:18" x14ac:dyDescent="0.35">
      <c r="A7" s="28" t="s">
        <v>6</v>
      </c>
      <c r="B7" s="40">
        <f>SUM(Abril!C42+'Maio '!C44+JUNHO!D44+JULHO!D44)</f>
        <v>1.0729166666666665</v>
      </c>
      <c r="D7" s="34" t="s">
        <v>140</v>
      </c>
      <c r="E7" s="40">
        <f>B9</f>
        <v>0</v>
      </c>
    </row>
    <row r="8" spans="1:18" x14ac:dyDescent="0.35">
      <c r="A8" s="28" t="s">
        <v>48</v>
      </c>
      <c r="B8" s="40">
        <f>SUM(Abril!C43+'Maio '!C45+JUNHO!D45+JULHO!D45)</f>
        <v>6.9444444444444448E-2</v>
      </c>
      <c r="D8" s="34" t="s">
        <v>20</v>
      </c>
      <c r="E8" s="40">
        <f>B10</f>
        <v>0.52777777777777779</v>
      </c>
    </row>
    <row r="9" spans="1:18" x14ac:dyDescent="0.35">
      <c r="A9" s="28" t="s">
        <v>146</v>
      </c>
      <c r="B9" s="40">
        <f>SUM(Abril!C44+'Maio '!C46+JUNHO!D46+JULHO!D46)</f>
        <v>0</v>
      </c>
      <c r="D9" s="34" t="s">
        <v>31</v>
      </c>
      <c r="E9" s="40">
        <f>B11</f>
        <v>0.16666666666666666</v>
      </c>
    </row>
    <row r="10" spans="1:18" x14ac:dyDescent="0.35">
      <c r="A10" s="28" t="s">
        <v>7</v>
      </c>
      <c r="B10" s="40">
        <f>SUM(Abril!C45+'Maio '!C47+JUNHO!D47+JULHO!D47)</f>
        <v>0.52777777777777779</v>
      </c>
    </row>
    <row r="11" spans="1:18" x14ac:dyDescent="0.35">
      <c r="A11" s="28" t="s">
        <v>8</v>
      </c>
      <c r="B11" s="40">
        <f>SUM(Abril!C46+'Maio '!C48+JUNHO!D48+JULHO!D48)</f>
        <v>0.16666666666666666</v>
      </c>
    </row>
    <row r="12" spans="1:18" x14ac:dyDescent="0.35">
      <c r="D12" s="41" t="s">
        <v>35</v>
      </c>
      <c r="E12" s="42" t="s">
        <v>53</v>
      </c>
    </row>
    <row r="13" spans="1:18" x14ac:dyDescent="0.35">
      <c r="D13" s="34" t="s">
        <v>33</v>
      </c>
      <c r="E13" s="40">
        <f>Abril!C41</f>
        <v>3.28125</v>
      </c>
    </row>
    <row r="14" spans="1:18" x14ac:dyDescent="0.35">
      <c r="D14" s="34" t="s">
        <v>34</v>
      </c>
      <c r="E14" s="40">
        <f>SUM('Maio '!C43)</f>
        <v>12.777083333333332</v>
      </c>
    </row>
    <row r="15" spans="1:18" x14ac:dyDescent="0.35">
      <c r="A15" s="41" t="s">
        <v>21</v>
      </c>
      <c r="B15" s="42" t="s">
        <v>19</v>
      </c>
      <c r="D15" s="29" t="s">
        <v>136</v>
      </c>
      <c r="E15" s="72">
        <f>JUNHO!D43</f>
        <v>0</v>
      </c>
    </row>
    <row r="16" spans="1:18" x14ac:dyDescent="0.35">
      <c r="A16" s="34" t="s">
        <v>47</v>
      </c>
      <c r="B16" s="40">
        <f>B8</f>
        <v>6.9444444444444448E-2</v>
      </c>
      <c r="D16" s="29"/>
      <c r="E16" s="72"/>
    </row>
    <row r="17" spans="1:4" s="26" customFormat="1" x14ac:dyDescent="0.35">
      <c r="A17" s="34" t="s">
        <v>140</v>
      </c>
      <c r="B17" s="40">
        <f>B9</f>
        <v>0</v>
      </c>
      <c r="C17" s="25"/>
    </row>
    <row r="18" spans="1:4" s="26" customFormat="1" x14ac:dyDescent="0.35">
      <c r="A18" s="34" t="s">
        <v>20</v>
      </c>
      <c r="B18" s="40">
        <f>B10</f>
        <v>0.52777777777777779</v>
      </c>
      <c r="C18" s="25"/>
      <c r="D18" s="25"/>
    </row>
    <row r="19" spans="1:4" s="26" customFormat="1" x14ac:dyDescent="0.35">
      <c r="A19" s="34" t="s">
        <v>8</v>
      </c>
      <c r="B19" s="40">
        <f>B11</f>
        <v>0.16666666666666666</v>
      </c>
      <c r="C19" s="25"/>
      <c r="D19" s="25"/>
    </row>
    <row r="24" spans="1:4" s="26" customFormat="1" x14ac:dyDescent="0.35">
      <c r="A24" s="25"/>
      <c r="D24" s="25"/>
    </row>
  </sheetData>
  <mergeCells count="1">
    <mergeCell ref="A1:H2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86DA-2C8F-4D1D-BAD4-D2C7BF6DE30A}">
  <dimension ref="A1:CO22"/>
  <sheetViews>
    <sheetView zoomScale="95" workbookViewId="0">
      <selection activeCell="G32" sqref="G32"/>
    </sheetView>
  </sheetViews>
  <sheetFormatPr defaultRowHeight="14.5" x14ac:dyDescent="0.35"/>
  <cols>
    <col min="1" max="1" width="27.90625" style="25" customWidth="1"/>
    <col min="2" max="4" width="30" style="26" customWidth="1"/>
    <col min="5" max="5" width="31.90625" style="26" customWidth="1"/>
    <col min="6" max="7" width="30" style="25" customWidth="1"/>
    <col min="8" max="8" width="27" style="25" customWidth="1"/>
    <col min="9" max="9" width="20.08984375" style="25" customWidth="1"/>
    <col min="10" max="10" width="21.08984375" style="25" customWidth="1"/>
    <col min="11" max="11" width="17.81640625" style="25" customWidth="1"/>
    <col min="12" max="16384" width="8.7265625" style="25"/>
  </cols>
  <sheetData>
    <row r="1" spans="1:93" ht="14.5" customHeight="1" x14ac:dyDescent="0.35">
      <c r="A1" s="205" t="s">
        <v>70</v>
      </c>
      <c r="B1" s="206"/>
      <c r="C1" s="206"/>
      <c r="D1" s="206"/>
      <c r="E1" s="206"/>
      <c r="F1" s="206"/>
      <c r="G1" s="206"/>
      <c r="H1" s="206"/>
      <c r="I1" s="29"/>
      <c r="J1" s="29"/>
      <c r="K1" s="29"/>
    </row>
    <row r="2" spans="1:93" x14ac:dyDescent="0.35">
      <c r="A2" s="206"/>
      <c r="B2" s="206"/>
      <c r="C2" s="206"/>
      <c r="D2" s="206"/>
      <c r="E2" s="206"/>
      <c r="F2" s="206"/>
      <c r="G2" s="206"/>
      <c r="H2" s="206"/>
      <c r="I2" s="29"/>
      <c r="J2" s="29"/>
      <c r="K2" s="29"/>
    </row>
    <row r="3" spans="1:93" x14ac:dyDescent="0.35">
      <c r="A3" s="70"/>
      <c r="B3" s="71"/>
      <c r="C3" s="71"/>
      <c r="D3" s="71"/>
      <c r="E3" s="71"/>
      <c r="F3" s="70"/>
      <c r="G3" s="70"/>
      <c r="H3" s="70"/>
    </row>
    <row r="4" spans="1:93" s="34" customFormat="1" x14ac:dyDescent="0.35">
      <c r="A4" s="41" t="s">
        <v>134</v>
      </c>
      <c r="B4" s="42" t="s">
        <v>19</v>
      </c>
      <c r="C4" s="41" t="s">
        <v>71</v>
      </c>
      <c r="D4" s="41"/>
      <c r="E4" s="41" t="s">
        <v>47</v>
      </c>
      <c r="F4" s="36" t="s">
        <v>19</v>
      </c>
      <c r="G4" s="36" t="s">
        <v>71</v>
      </c>
      <c r="H4" s="36"/>
      <c r="I4" s="41" t="s">
        <v>19</v>
      </c>
      <c r="J4" s="34" t="s">
        <v>71</v>
      </c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</row>
    <row r="5" spans="1:93" s="73" customFormat="1" x14ac:dyDescent="0.35">
      <c r="A5" s="41" t="s">
        <v>107</v>
      </c>
      <c r="B5" s="40" t="e">
        <f>SUM(#REF!+Abril!I32+'Maio '!I7+'Maio '!I8+'Maio '!I9+'Maio '!I10+'Maio '!I26)</f>
        <v>#REF!</v>
      </c>
      <c r="C5" s="72" t="e">
        <f>B5/10</f>
        <v>#REF!</v>
      </c>
      <c r="D5" s="72"/>
      <c r="E5" s="41" t="s">
        <v>109</v>
      </c>
      <c r="F5" s="40">
        <f>DASHBOARD!B16</f>
        <v>6.9444444444444448E-2</v>
      </c>
      <c r="G5" s="42">
        <f>F5/24</f>
        <v>2.8935185185185188E-3</v>
      </c>
      <c r="H5" s="42" t="s">
        <v>217</v>
      </c>
      <c r="I5" s="42">
        <f>EQUIPAMENTOS!B67</f>
        <v>0</v>
      </c>
      <c r="J5" s="42">
        <f>I5/24</f>
        <v>0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</row>
    <row r="6" spans="1:93" s="34" customFormat="1" x14ac:dyDescent="0.35">
      <c r="A6" s="41" t="s">
        <v>137</v>
      </c>
      <c r="B6" s="40">
        <f>SUM('Maio '!I16)</f>
        <v>0</v>
      </c>
      <c r="C6" s="72">
        <f>B6/10</f>
        <v>0</v>
      </c>
      <c r="D6" s="72"/>
      <c r="E6" s="74" t="s">
        <v>108</v>
      </c>
      <c r="F6" s="72">
        <f>DASHBOARD!B11</f>
        <v>0.16666666666666666</v>
      </c>
      <c r="G6" s="42">
        <f>F6/24</f>
        <v>6.9444444444444441E-3</v>
      </c>
      <c r="H6" s="42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</row>
    <row r="7" spans="1:93" x14ac:dyDescent="0.35">
      <c r="A7" s="41"/>
      <c r="B7" s="40"/>
      <c r="C7" s="72"/>
      <c r="D7" s="72"/>
      <c r="E7" s="74" t="s">
        <v>20</v>
      </c>
      <c r="F7" s="72">
        <f>DASHBOARD!B10</f>
        <v>0.52777777777777779</v>
      </c>
      <c r="G7" s="42">
        <f>F7/24</f>
        <v>2.1990740740740741E-2</v>
      </c>
      <c r="H7" s="29"/>
      <c r="I7" s="29"/>
      <c r="J7" s="29"/>
      <c r="K7" s="29"/>
    </row>
    <row r="8" spans="1:93" s="29" customFormat="1" x14ac:dyDescent="0.35">
      <c r="B8" s="72"/>
      <c r="C8" s="72"/>
      <c r="D8" s="72"/>
      <c r="E8" s="128"/>
      <c r="F8" s="84"/>
      <c r="G8" s="42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</row>
    <row r="9" spans="1:93" x14ac:dyDescent="0.35">
      <c r="K9" s="75"/>
    </row>
    <row r="10" spans="1:93" x14ac:dyDescent="0.35">
      <c r="I10" s="43"/>
      <c r="J10" s="76"/>
      <c r="K10" s="77"/>
    </row>
    <row r="11" spans="1:93" x14ac:dyDescent="0.35">
      <c r="H11" s="48"/>
      <c r="I11" s="49"/>
      <c r="J11" s="43"/>
      <c r="K11" s="49"/>
    </row>
    <row r="12" spans="1:93" ht="18.5" x14ac:dyDescent="0.45">
      <c r="A12" s="27"/>
      <c r="J12" s="43"/>
      <c r="K12" s="49"/>
    </row>
    <row r="15" spans="1:93" x14ac:dyDescent="0.35">
      <c r="K15" s="75"/>
    </row>
    <row r="16" spans="1:93" x14ac:dyDescent="0.35">
      <c r="H16" s="70"/>
      <c r="I16" s="49"/>
      <c r="J16" s="30"/>
      <c r="K16" s="75"/>
    </row>
    <row r="21" spans="8:12" x14ac:dyDescent="0.35">
      <c r="K21" s="48"/>
      <c r="L21" s="49"/>
    </row>
    <row r="22" spans="8:12" x14ac:dyDescent="0.35">
      <c r="H22" s="43"/>
      <c r="I22" s="49"/>
    </row>
  </sheetData>
  <mergeCells count="1">
    <mergeCell ref="A1:H2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A85AB-FFA7-4EE5-9794-FB7245024FA6}">
  <dimension ref="A1:AG12"/>
  <sheetViews>
    <sheetView zoomScale="70" zoomScaleNormal="70" workbookViewId="0">
      <selection activeCell="F5" sqref="F5"/>
    </sheetView>
  </sheetViews>
  <sheetFormatPr defaultRowHeight="14.5" x14ac:dyDescent="0.35"/>
  <cols>
    <col min="1" max="1" width="30" style="25" customWidth="1"/>
    <col min="2" max="3" width="30" style="26" customWidth="1"/>
    <col min="4" max="6" width="30" style="25" customWidth="1"/>
    <col min="7" max="16384" width="8.7265625" style="25"/>
  </cols>
  <sheetData>
    <row r="1" spans="1:33" x14ac:dyDescent="0.35">
      <c r="A1" s="207" t="s">
        <v>38</v>
      </c>
      <c r="B1" s="208"/>
      <c r="C1" s="208"/>
      <c r="D1" s="208"/>
      <c r="E1" s="208"/>
      <c r="F1" s="208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</row>
    <row r="2" spans="1:33" x14ac:dyDescent="0.35">
      <c r="A2" s="208"/>
      <c r="B2" s="208"/>
      <c r="C2" s="208"/>
      <c r="D2" s="208"/>
      <c r="E2" s="208"/>
      <c r="F2" s="208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</row>
    <row r="4" spans="1:33" s="37" customFormat="1" x14ac:dyDescent="0.35">
      <c r="A4" s="38" t="s">
        <v>32</v>
      </c>
      <c r="B4" s="39" t="s">
        <v>5</v>
      </c>
      <c r="C4" s="39" t="s">
        <v>6</v>
      </c>
    </row>
    <row r="5" spans="1:33" x14ac:dyDescent="0.35">
      <c r="A5" s="31" t="s">
        <v>33</v>
      </c>
      <c r="B5" s="32">
        <f>SUM(Abril!C41)</f>
        <v>3.28125</v>
      </c>
      <c r="C5" s="32">
        <f>SUM(Abril!C42)</f>
        <v>0.16666666666666669</v>
      </c>
    </row>
    <row r="6" spans="1:33" x14ac:dyDescent="0.35">
      <c r="A6" s="31" t="s">
        <v>34</v>
      </c>
      <c r="B6" s="32">
        <f>SUM('Maio '!C43)</f>
        <v>12.777083333333332</v>
      </c>
      <c r="C6" s="32">
        <f>SUM('Maio '!C44)</f>
        <v>0.90624999999999989</v>
      </c>
    </row>
    <row r="12" spans="1:33" ht="18.5" x14ac:dyDescent="0.45">
      <c r="A12" s="27"/>
    </row>
  </sheetData>
  <mergeCells count="1">
    <mergeCell ref="A1:F2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B3B63-0EB9-4114-A714-D4B3792C2472}">
  <dimension ref="A1:CN22"/>
  <sheetViews>
    <sheetView zoomScale="95" workbookViewId="0">
      <selection activeCell="D7" sqref="D7"/>
    </sheetView>
  </sheetViews>
  <sheetFormatPr defaultRowHeight="14.5" x14ac:dyDescent="0.35"/>
  <cols>
    <col min="1" max="1" width="30" style="25" customWidth="1"/>
    <col min="2" max="4" width="30" style="26" customWidth="1"/>
    <col min="5" max="6" width="30" style="25" customWidth="1"/>
    <col min="7" max="7" width="27" style="25" customWidth="1"/>
    <col min="8" max="8" width="11.54296875" style="25" customWidth="1"/>
    <col min="9" max="9" width="8.7265625" style="25"/>
    <col min="10" max="10" width="17.81640625" style="25" customWidth="1"/>
    <col min="11" max="16384" width="8.7265625" style="25"/>
  </cols>
  <sheetData>
    <row r="1" spans="1:92" ht="14.5" customHeight="1" x14ac:dyDescent="0.35">
      <c r="A1" s="205" t="s">
        <v>39</v>
      </c>
      <c r="B1" s="209"/>
      <c r="C1" s="209"/>
      <c r="D1" s="209"/>
      <c r="E1" s="209"/>
      <c r="F1" s="209"/>
      <c r="G1" s="209"/>
      <c r="H1" s="29"/>
      <c r="I1" s="29"/>
      <c r="J1" s="29"/>
    </row>
    <row r="2" spans="1:92" x14ac:dyDescent="0.35">
      <c r="A2" s="209"/>
      <c r="B2" s="209"/>
      <c r="C2" s="209"/>
      <c r="D2" s="209"/>
      <c r="E2" s="209"/>
      <c r="F2" s="209"/>
      <c r="G2" s="209"/>
      <c r="H2" s="29"/>
      <c r="I2" s="29"/>
      <c r="J2" s="29"/>
    </row>
    <row r="4" spans="1:92" s="34" customFormat="1" x14ac:dyDescent="0.35">
      <c r="A4" s="35" t="s">
        <v>32</v>
      </c>
      <c r="B4" s="36" t="s">
        <v>41</v>
      </c>
      <c r="C4" s="36" t="s">
        <v>42</v>
      </c>
      <c r="D4" s="36" t="s">
        <v>40</v>
      </c>
      <c r="E4" s="36" t="s">
        <v>44</v>
      </c>
      <c r="F4" s="36" t="s">
        <v>43</v>
      </c>
      <c r="G4" s="36" t="s">
        <v>187</v>
      </c>
      <c r="H4" s="41" t="s">
        <v>54</v>
      </c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</row>
    <row r="5" spans="1:92" s="31" customFormat="1" x14ac:dyDescent="0.35">
      <c r="A5" s="31" t="s">
        <v>160</v>
      </c>
      <c r="B5" s="33">
        <v>46104</v>
      </c>
      <c r="C5" s="33">
        <v>46284</v>
      </c>
      <c r="D5" s="33">
        <v>46204</v>
      </c>
      <c r="E5" s="31">
        <f>SUM(D5-B5)</f>
        <v>100</v>
      </c>
      <c r="F5" s="31">
        <f>SUM(C5-B5)</f>
        <v>180</v>
      </c>
      <c r="G5" s="31">
        <f>SUM(F5-E5)</f>
        <v>80</v>
      </c>
      <c r="H5" s="47">
        <f>(G5/F5)</f>
        <v>0.44444444444444442</v>
      </c>
    </row>
    <row r="6" spans="1:92" s="34" customFormat="1" x14ac:dyDescent="0.35">
      <c r="B6" s="194">
        <v>46132</v>
      </c>
      <c r="C6" s="194">
        <v>46232</v>
      </c>
      <c r="D6" s="34">
        <f>C6-B6</f>
        <v>100</v>
      </c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</row>
    <row r="8" spans="1:92" x14ac:dyDescent="0.35">
      <c r="G8" s="45" t="s">
        <v>51</v>
      </c>
      <c r="H8" s="44" t="s">
        <v>19</v>
      </c>
      <c r="I8" s="44"/>
      <c r="J8" s="44" t="s">
        <v>52</v>
      </c>
    </row>
    <row r="9" spans="1:92" x14ac:dyDescent="0.35">
      <c r="G9" s="28" t="s">
        <v>4</v>
      </c>
      <c r="H9" s="40" t="e">
        <f>SUM(#REF!+#REF!+Abril!C40+'Maio '!C42)</f>
        <v>#REF!</v>
      </c>
      <c r="I9" s="29"/>
      <c r="J9" s="46" t="e">
        <f>H9</f>
        <v>#REF!</v>
      </c>
    </row>
    <row r="10" spans="1:92" x14ac:dyDescent="0.35">
      <c r="G10" s="28" t="s">
        <v>5</v>
      </c>
      <c r="H10" s="40" t="e">
        <f>SUM(#REF!+#REF!+Abril!C41+'Maio '!C43)</f>
        <v>#REF!</v>
      </c>
      <c r="I10" s="29"/>
      <c r="J10" s="46" t="e">
        <f t="shared" ref="J10:J15" si="0">H10</f>
        <v>#REF!</v>
      </c>
    </row>
    <row r="11" spans="1:92" x14ac:dyDescent="0.35">
      <c r="G11" s="28" t="s">
        <v>6</v>
      </c>
      <c r="H11" s="40" t="e">
        <f>SUM(#REF!+#REF!+Abril!C42+'Maio '!C44)</f>
        <v>#REF!</v>
      </c>
      <c r="I11" s="29"/>
      <c r="J11" s="46" t="e">
        <f t="shared" si="0"/>
        <v>#REF!</v>
      </c>
    </row>
    <row r="12" spans="1:92" ht="18.5" x14ac:dyDescent="0.45">
      <c r="A12" s="27"/>
      <c r="G12" s="28" t="s">
        <v>48</v>
      </c>
      <c r="H12" s="40" t="e">
        <f>SUM(#REF!+#REF!+Abril!C43+'Maio '!C45)</f>
        <v>#REF!</v>
      </c>
      <c r="I12" s="29"/>
      <c r="J12" s="46" t="e">
        <f t="shared" si="0"/>
        <v>#REF!</v>
      </c>
    </row>
    <row r="13" spans="1:92" x14ac:dyDescent="0.35">
      <c r="G13" s="28" t="s">
        <v>146</v>
      </c>
      <c r="H13" s="40" t="e">
        <f>SUM(#REF!+#REF!+Abril!C44+'Maio '!C46)</f>
        <v>#REF!</v>
      </c>
      <c r="I13" s="29"/>
      <c r="J13" s="46" t="e">
        <f t="shared" si="0"/>
        <v>#REF!</v>
      </c>
    </row>
    <row r="14" spans="1:92" x14ac:dyDescent="0.35">
      <c r="G14" s="28" t="s">
        <v>7</v>
      </c>
      <c r="H14" s="40" t="e">
        <f>SUM(#REF!+#REF!+Abril!C45+'Maio '!C47)</f>
        <v>#REF!</v>
      </c>
      <c r="I14" s="29"/>
      <c r="J14" s="46" t="e">
        <f t="shared" si="0"/>
        <v>#REF!</v>
      </c>
    </row>
    <row r="15" spans="1:92" x14ac:dyDescent="0.35">
      <c r="G15" s="28" t="s">
        <v>8</v>
      </c>
      <c r="H15" s="40" t="e">
        <f>SUM(#REF!+#REF!+Abril!C46+'Maio '!C48)</f>
        <v>#REF!</v>
      </c>
      <c r="I15" s="29"/>
      <c r="J15" s="46" t="e">
        <f t="shared" si="0"/>
        <v>#REF!</v>
      </c>
    </row>
    <row r="16" spans="1:92" x14ac:dyDescent="0.35">
      <c r="H16" s="30"/>
      <c r="I16" s="30"/>
    </row>
    <row r="18" spans="7:11" x14ac:dyDescent="0.35">
      <c r="G18" s="41" t="s">
        <v>57</v>
      </c>
      <c r="H18" s="42"/>
    </row>
    <row r="19" spans="7:11" x14ac:dyDescent="0.35">
      <c r="G19" s="34" t="s">
        <v>55</v>
      </c>
      <c r="H19" s="40" t="e">
        <f>SUM(#REF!+#REF!+Abril!H36+'Maio '!H37)</f>
        <v>#REF!</v>
      </c>
    </row>
    <row r="20" spans="7:11" x14ac:dyDescent="0.35">
      <c r="G20" s="34" t="s">
        <v>56</v>
      </c>
      <c r="H20" s="40" t="e">
        <f>SUM(#REF!+#REF!+Abril!M36+'Maio '!N37)</f>
        <v>#REF!</v>
      </c>
    </row>
    <row r="21" spans="7:11" x14ac:dyDescent="0.35">
      <c r="G21" s="43"/>
      <c r="H21" s="49"/>
      <c r="J21" s="48"/>
      <c r="K21" s="49"/>
    </row>
    <row r="22" spans="7:11" x14ac:dyDescent="0.35">
      <c r="G22" s="43"/>
      <c r="H22" s="49"/>
    </row>
  </sheetData>
  <mergeCells count="1">
    <mergeCell ref="A1:G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Abril</vt:lpstr>
      <vt:lpstr>Maio </vt:lpstr>
      <vt:lpstr>JUNHO</vt:lpstr>
      <vt:lpstr>JULHO</vt:lpstr>
      <vt:lpstr>EQUIPAMENTOS</vt:lpstr>
      <vt:lpstr>PERFURAÇÃO</vt:lpstr>
      <vt:lpstr>QUÍMICOS </vt:lpstr>
      <vt:lpstr>EQUIPAMENTOS LOCADOS</vt:lpstr>
      <vt:lpstr>DASHBOARD PERFURAÇÃO</vt:lpstr>
      <vt:lpstr>DASHBOARD</vt:lpstr>
      <vt:lpstr>DISTRIBUIÇÃO DE HORAS PARADAS</vt:lpstr>
      <vt:lpstr>DASHBOARD MENSAL</vt:lpstr>
      <vt:lpstr>DASHBOARD GERAL DE EXECUÇÃO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Cintia Figueiredo de Souza</cp:lastModifiedBy>
  <dcterms:created xsi:type="dcterms:W3CDTF">2026-05-21T17:29:26Z</dcterms:created>
  <dcterms:modified xsi:type="dcterms:W3CDTF">2026-07-02T11:55:11Z</dcterms:modified>
</cp:coreProperties>
</file>